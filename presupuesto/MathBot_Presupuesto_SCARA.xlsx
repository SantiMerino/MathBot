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Lista de materiales" sheetId="2" state="visible" r:id="rId2"/>
    <sheet xmlns:r="http://schemas.openxmlformats.org/officeDocument/2006/relationships" name="Registro de gastos" sheetId="3" state="visible" r:id="rId3"/>
    <sheet xmlns:r="http://schemas.openxmlformats.org/officeDocument/2006/relationships" name="Impresión 3D" sheetId="4" state="visible" r:id="rId4"/>
    <sheet xmlns:r="http://schemas.openxmlformats.org/officeDocument/2006/relationships" name="Supuestos" sheetId="5" state="visible" r:id="rId5"/>
    <sheet xmlns:r="http://schemas.openxmlformats.org/officeDocument/2006/relationships" name="Tiendas" sheetId="6" state="visible" r:id="rId6"/>
  </sheets>
  <definedNames>
    <definedName name="TasaVentasEEUU">Supuestos!$C$5</definedName>
    <definedName name="FleteLb">Supuestos!$C$6</definedName>
    <definedName name="IVA">Supuestos!$C$7</definedName>
    <definedName name="RecargoCIF">Supuestos!$C$8</definedName>
    <definedName name="LimiteFranquicia">Supuestos!$C$9</definedName>
    <definedName name="EnviosCasillero">Supuestos!$C$10</definedName>
    <definedName name="GestionEnvio">Supuestos!$C$11</definedName>
    <definedName name="DescCasaRivas">Supuestos!$C$12</definedName>
    <definedName name="Contingencia">Supuestos!$C$13</definedName>
    <definedName name="Integrantes">Supuestos!$C$14</definedName>
    <definedName name="Presupuesto">Supuestos!$C$15</definedName>
    <definedName name="MermaImpresion">Supuestos!$C$16</definedName>
    <definedName name="RendimientoGH">Supuestos!$C$17</definedName>
    <definedName name="GramosRollo">Supuestos!$C$18</definedName>
    <definedName name="Miembros">Supuestos!$B$23:$B$26</definedName>
    <definedName name="_xlnm._FilterDatabase" localSheetId="1" hidden="1">'Lista de materiales'!$A$4:$AC$54</definedName>
  </definedNames>
  <calcPr calcId="124519" fullCalcOnLoad="1"/>
</workbook>
</file>

<file path=xl/styles.xml><?xml version="1.0" encoding="utf-8"?>
<styleSheet xmlns="http://schemas.openxmlformats.org/spreadsheetml/2006/main">
  <numFmts count="7">
    <numFmt numFmtId="164" formatCode="0.0%;(0.0%);&quot;-&quot;"/>
    <numFmt numFmtId="165" formatCode="$#,##0.00;($#,##0.00);&quot;-&quot;"/>
    <numFmt numFmtId="166" formatCode="$#,##0;($#,##0);&quot;-&quot;"/>
    <numFmt numFmtId="167" formatCode="0.0"/>
    <numFmt numFmtId="168" formatCode="#,##0&quot; g&quot;"/>
    <numFmt numFmtId="169" formatCode="0&quot; h&quot;"/>
    <numFmt numFmtId="170" formatCode="dd/mm/yyyy"/>
  </numFmts>
  <fonts count="14">
    <font>
      <name val="Calibri"/>
      <family val="2"/>
      <color theme="1"/>
      <sz val="11"/>
      <scheme val="minor"/>
    </font>
    <font>
      <name val="Arial"/>
      <b val="1"/>
      <color rgb="001F3A5F"/>
      <sz val="16"/>
    </font>
    <font>
      <name val="Arial"/>
      <i val="1"/>
      <color rgb="005B6876"/>
      <sz val="10"/>
    </font>
    <font>
      <name val="Arial"/>
      <b val="1"/>
      <color rgb="00FFFFFF"/>
      <sz val="10"/>
    </font>
    <font>
      <name val="Arial"/>
      <color rgb="005B6876"/>
      <sz val="9"/>
    </font>
    <font>
      <name val="Arial"/>
      <sz val="10"/>
    </font>
    <font>
      <name val="Arial"/>
      <color rgb="000000FF"/>
      <sz val="10"/>
    </font>
    <font>
      <name val="Arial"/>
      <b val="1"/>
      <sz val="10"/>
    </font>
    <font>
      <name val="Arial"/>
      <color rgb="001F6FD1"/>
      <sz val="9"/>
      <u val="single"/>
    </font>
    <font>
      <name val="Arial"/>
      <color rgb="00008000"/>
      <sz val="10"/>
    </font>
    <font>
      <name val="Arial"/>
      <i val="1"/>
      <color rgb="007F8C8D"/>
      <sz val="10"/>
    </font>
    <font>
      <name val="Arial"/>
      <b val="1"/>
      <color rgb="001F3A5F"/>
      <sz val="20"/>
    </font>
    <font>
      <name val="Arial"/>
      <b val="1"/>
      <sz val="11"/>
    </font>
    <font>
      <name val="Arial"/>
      <color theme="1"/>
      <sz val="11"/>
    </font>
  </fonts>
  <fills count="6">
    <fill>
      <patternFill/>
    </fill>
    <fill>
      <patternFill patternType="gray125"/>
    </fill>
    <fill>
      <patternFill patternType="solid">
        <fgColor rgb="001F3A5F"/>
      </patternFill>
    </fill>
    <fill>
      <patternFill patternType="solid">
        <fgColor rgb="00FFF2CC"/>
      </patternFill>
    </fill>
    <fill>
      <patternFill patternType="solid">
        <fgColor rgb="00F3F5F8"/>
      </patternFill>
    </fill>
    <fill>
      <patternFill patternType="solid">
        <fgColor rgb="00D9E2EC"/>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65">
    <xf numFmtId="0" fontId="0" fillId="0" borderId="0" pivotButton="0" quotePrefix="0" xfId="0"/>
    <xf numFmtId="0" fontId="11" fillId="0" borderId="0" pivotButton="0" quotePrefix="0" xfId="0"/>
    <xf numFmtId="0" fontId="13" fillId="0" borderId="0" pivotButton="0" quotePrefix="0" xfId="0"/>
    <xf numFmtId="0" fontId="2" fillId="0" borderId="0" applyAlignment="1" pivotButton="0" quotePrefix="0" xfId="0">
      <alignment wrapText="1"/>
    </xf>
    <xf numFmtId="0" fontId="7" fillId="0" borderId="0" pivotButton="0" quotePrefix="0" xfId="0"/>
    <xf numFmtId="0" fontId="5" fillId="0" borderId="0" pivotButton="0" quotePrefix="0" xfId="0"/>
    <xf numFmtId="165" fontId="9" fillId="4" borderId="1" pivotButton="0" quotePrefix="0" xfId="0"/>
    <xf numFmtId="0" fontId="4" fillId="0" borderId="0" pivotButton="0" quotePrefix="0" xfId="0"/>
    <xf numFmtId="165" fontId="12" fillId="4" borderId="1" pivotButton="0" quotePrefix="0" xfId="0"/>
    <xf numFmtId="164" fontId="12" fillId="4" borderId="1" pivotButton="0" quotePrefix="0" xfId="0"/>
    <xf numFmtId="0" fontId="3" fillId="2" borderId="1" pivotButton="0" quotePrefix="0" xfId="0"/>
    <xf numFmtId="165" fontId="5" fillId="0" borderId="1" pivotButton="0" quotePrefix="0" xfId="0"/>
    <xf numFmtId="164" fontId="5" fillId="0" borderId="1" pivotButton="0" quotePrefix="0" xfId="0"/>
    <xf numFmtId="165" fontId="7" fillId="5" borderId="1" pivotButton="0" quotePrefix="0" xfId="0"/>
    <xf numFmtId="164" fontId="7" fillId="5" borderId="1" pivotButton="0" quotePrefix="0" xfId="0"/>
    <xf numFmtId="165" fontId="13" fillId="0" borderId="1" pivotButton="0" quotePrefix="0" xfId="0"/>
    <xf numFmtId="165" fontId="13" fillId="0" borderId="0" pivotButton="0" quotePrefix="0" xfId="0"/>
    <xf numFmtId="0" fontId="3" fillId="2" borderId="1" applyAlignment="1" pivotButton="0" quotePrefix="0" xfId="0">
      <alignment wrapText="1"/>
    </xf>
    <xf numFmtId="0" fontId="9" fillId="0" borderId="1"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7" fillId="0"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1" applyAlignment="1" pivotButton="0" quotePrefix="0" xfId="0">
      <alignment vertical="top"/>
    </xf>
    <xf numFmtId="165" fontId="6" fillId="3" borderId="1" applyAlignment="1" pivotButton="0" quotePrefix="0" xfId="0">
      <alignment vertical="top"/>
    </xf>
    <xf numFmtId="2" fontId="6" fillId="3" borderId="1" applyAlignment="1" pivotButton="0" quotePrefix="0" xfId="0">
      <alignment vertical="top"/>
    </xf>
    <xf numFmtId="165" fontId="5" fillId="0" borderId="1" applyAlignment="1" pivotButton="0" quotePrefix="0" xfId="0">
      <alignment vertical="top"/>
    </xf>
    <xf numFmtId="0" fontId="8" fillId="0" borderId="1" applyAlignment="1" pivotButton="0" quotePrefix="0" xfId="0">
      <alignment vertical="top"/>
    </xf>
    <xf numFmtId="0" fontId="4" fillId="0" borderId="1" applyAlignment="1" pivotButton="0" quotePrefix="0" xfId="0">
      <alignment vertical="top" wrapText="1"/>
    </xf>
    <xf numFmtId="0" fontId="9" fillId="3" borderId="1" applyAlignment="1" pivotButton="0" quotePrefix="0" xfId="0">
      <alignment vertical="top"/>
    </xf>
    <xf numFmtId="165" fontId="9" fillId="3" borderId="1" applyAlignment="1" pivotButton="0" quotePrefix="0" xfId="0">
      <alignment vertical="top"/>
    </xf>
    <xf numFmtId="165" fontId="7" fillId="5" borderId="0" pivotButton="0" quotePrefix="0" xfId="0"/>
    <xf numFmtId="0" fontId="7" fillId="4" borderId="0" pivotButton="0" quotePrefix="0" xfId="0"/>
    <xf numFmtId="0" fontId="10" fillId="0" borderId="0" pivotButton="0" quotePrefix="0" xfId="0"/>
    <xf numFmtId="165" fontId="10" fillId="0" borderId="0" pivotButton="0" quotePrefix="0" xfId="0"/>
    <xf numFmtId="170" fontId="6" fillId="3" borderId="1" pivotButton="0" quotePrefix="0" xfId="0"/>
    <xf numFmtId="0" fontId="6" fillId="3" borderId="1" pivotButton="0" quotePrefix="0" xfId="0"/>
    <xf numFmtId="0" fontId="5" fillId="0" borderId="1" pivotButton="0" quotePrefix="0" xfId="0"/>
    <xf numFmtId="165" fontId="6" fillId="3" borderId="1" pivotButton="0" quotePrefix="0" xfId="0"/>
    <xf numFmtId="165" fontId="7" fillId="0" borderId="0" pivotButton="0" quotePrefix="0" xfId="0"/>
    <xf numFmtId="170" fontId="6" fillId="3" borderId="0" pivotButton="0" quotePrefix="0" xfId="0"/>
    <xf numFmtId="0" fontId="6" fillId="3" borderId="0" pivotButton="0" quotePrefix="0" xfId="0"/>
    <xf numFmtId="165" fontId="6" fillId="3" borderId="0" pivotButton="0" quotePrefix="0" xfId="0"/>
    <xf numFmtId="0" fontId="2" fillId="0" borderId="0" pivotButton="0" quotePrefix="0" xfId="0"/>
    <xf numFmtId="168" fontId="5" fillId="4" borderId="0" pivotButton="0" quotePrefix="0" xfId="0"/>
    <xf numFmtId="1" fontId="5" fillId="4" borderId="0" pivotButton="0" quotePrefix="0" xfId="0"/>
    <xf numFmtId="169" fontId="5" fillId="4" borderId="0" pivotButton="0" quotePrefix="0" xfId="0"/>
    <xf numFmtId="164" fontId="5" fillId="4" borderId="0" pivotButton="0" quotePrefix="0" xfId="0"/>
    <xf numFmtId="165" fontId="9" fillId="4" borderId="0" pivotButton="0" quotePrefix="0" xfId="0"/>
    <xf numFmtId="0" fontId="3" fillId="2" borderId="1" applyAlignment="1" pivotButton="0" quotePrefix="0" xfId="0">
      <alignment vertical="center" wrapText="1"/>
    </xf>
    <xf numFmtId="167" fontId="5" fillId="0" borderId="1" pivotButton="0" quotePrefix="0" xfId="0"/>
    <xf numFmtId="167" fontId="13" fillId="0" borderId="1" pivotButton="0" quotePrefix="0" xfId="0"/>
    <xf numFmtId="0" fontId="4" fillId="0" borderId="1" pivotButton="0" quotePrefix="0" xfId="0"/>
    <xf numFmtId="167" fontId="6" fillId="3" borderId="1" pivotButton="0" quotePrefix="0" xfId="0"/>
    <xf numFmtId="1" fontId="7" fillId="5" borderId="0" pivotButton="0" quotePrefix="0" xfId="0"/>
    <xf numFmtId="3" fontId="7" fillId="5" borderId="0" pivotButton="0" quotePrefix="0" xfId="0"/>
    <xf numFmtId="167" fontId="7" fillId="5" borderId="0" pivotButton="0" quotePrefix="0" xfId="0"/>
    <xf numFmtId="164" fontId="6" fillId="3" borderId="1" applyAlignment="1" pivotButton="0" quotePrefix="0" xfId="0">
      <alignment vertical="top" wrapText="1"/>
    </xf>
    <xf numFmtId="165" fontId="6" fillId="3" borderId="1" applyAlignment="1" pivotButton="0" quotePrefix="0" xfId="0">
      <alignment vertical="top" wrapText="1"/>
    </xf>
    <xf numFmtId="166" fontId="6" fillId="3" borderId="1" applyAlignment="1" pivotButton="0" quotePrefix="0" xfId="0">
      <alignment vertical="top" wrapText="1"/>
    </xf>
    <xf numFmtId="1" fontId="6" fillId="3" borderId="1" applyAlignment="1" pivotButton="0" quotePrefix="0" xfId="0">
      <alignment vertical="top" wrapText="1"/>
    </xf>
    <xf numFmtId="167" fontId="6" fillId="3" borderId="1" applyAlignment="1" pivotButton="0" quotePrefix="0" xfId="0">
      <alignment vertical="top" wrapText="1"/>
    </xf>
    <xf numFmtId="3" fontId="6" fillId="3" borderId="1" applyAlignment="1" pivotButton="0" quotePrefix="0" xfId="0">
      <alignment vertical="top" wrapText="1"/>
    </xf>
  </cellXfs>
  <cellStyles count="1">
    <cellStyle name="Normal" xfId="0" builtinId="0" hidden="0"/>
  </cellStyles>
  <dxfs count="9">
    <dxf>
      <font>
        <name val="Arial"/>
        <b val="1"/>
        <color rgb="00C0392B"/>
        <sz val="11"/>
      </font>
    </dxf>
    <dxf>
      <font>
        <name val="Arial"/>
        <b val="1"/>
        <color rgb="00C0392B"/>
        <sz val="10"/>
      </font>
    </dxf>
    <dxf>
      <fill>
        <patternFill patternType="solid">
          <fgColor rgb="00D5F5E3"/>
        </patternFill>
      </fill>
    </dxf>
    <dxf>
      <fill>
        <patternFill patternType="solid">
          <fgColor rgb="00D6EAF8"/>
        </patternFill>
      </fill>
    </dxf>
    <dxf>
      <fill>
        <patternFill patternType="solid">
          <fgColor rgb="00FCF3CF"/>
        </patternFill>
      </fill>
    </dxf>
    <dxf>
      <fill>
        <patternFill patternType="solid">
          <fgColor rgb="00E5E7E9"/>
        </patternFill>
      </fill>
    </dxf>
    <dxf>
      <fill>
        <patternFill patternType="solid">
          <fgColor rgb="00FDEBD0"/>
        </patternFill>
      </fill>
    </dxf>
    <dxf>
      <font>
        <name val="Arial"/>
        <color rgb="0099A3A4"/>
        <sz val="10"/>
      </font>
    </dxf>
    <dxf>
      <fill>
        <patternFill patternType="solid">
          <f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Proyección por categoría (USD)</a:t>
            </a:r>
          </a:p>
        </rich>
      </tx>
    </title>
    <plotArea>
      <barChart>
        <barDir val="bar"/>
        <grouping val="clustered"/>
        <ser>
          <idx val="0"/>
          <order val="0"/>
          <tx>
            <strRef>
              <f>'Resumen'!F19</f>
            </strRef>
          </tx>
          <spPr>
            <a:ln xmlns:a="http://schemas.openxmlformats.org/drawingml/2006/main">
              <a:prstDash val="solid"/>
            </a:ln>
          </spPr>
          <cat>
            <numRef>
              <f>'Resumen'!$A$20:$A$27</f>
            </numRef>
          </cat>
          <val>
            <numRef>
              <f>'Resumen'!$F$20:$F$27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3</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amazon.com/dp/B0D2312R72" TargetMode="External" Id="rId1"/><Relationship Type="http://schemas.openxmlformats.org/officeDocument/2006/relationships/hyperlink" Target="https://www.amazon.com/dp/B0D5BHVY9W" TargetMode="External" Id="rId2"/><Relationship Type="http://schemas.openxmlformats.org/officeDocument/2006/relationships/hyperlink" Target="https://www.amazon.com/dp/B08JPPC1TZ" TargetMode="External" Id="rId3"/><Relationship Type="http://schemas.openxmlformats.org/officeDocument/2006/relationships/hyperlink" Target="https://www.amazon.com/dp/B07JL1QYLS" TargetMode="External" Id="rId4"/><Relationship Type="http://schemas.openxmlformats.org/officeDocument/2006/relationships/hyperlink" Target="https://www.amazon.com/dp/B0FDKPGXQ4" TargetMode="External" Id="rId5"/><Relationship Type="http://schemas.openxmlformats.org/officeDocument/2006/relationships/hyperlink" Target="https://www.amazon.com/s?k=51107+thrust+ball+bearing" TargetMode="External" Id="rId6"/><Relationship Type="http://schemas.openxmlformats.org/officeDocument/2006/relationships/hyperlink" Target="https://www.amazon.com/dp/B07RP6RDYL" TargetMode="External" Id="rId7"/><Relationship Type="http://schemas.openxmlformats.org/officeDocument/2006/relationships/hyperlink" Target="https://www.amazon.com/dp/B09D33QXFL" TargetMode="External" Id="rId8"/><Relationship Type="http://schemas.openxmlformats.org/officeDocument/2006/relationships/hyperlink" Target="https://www.amazon.com/dp/B0GYVYQKQ4" TargetMode="External" Id="rId9"/><Relationship Type="http://schemas.openxmlformats.org/officeDocument/2006/relationships/hyperlink" Target="https://www.amazon.com/dp/B0FRDL4X1Z" TargetMode="External" Id="rId10"/><Relationship Type="http://schemas.openxmlformats.org/officeDocument/2006/relationships/hyperlink" Target="https://www.amazon.com/dp/B0CN41SWMZ" TargetMode="External" Id="rId11"/><Relationship Type="http://schemas.openxmlformats.org/officeDocument/2006/relationships/hyperlink" Target="https://www.amazon.com/dp/B0FRD6MX8J" TargetMode="External" Id="rId12"/><Relationship Type="http://schemas.openxmlformats.org/officeDocument/2006/relationships/hyperlink" Target="https://www.amazon.com/dp/B00PNEQI7W" TargetMode="External" Id="rId13"/><Relationship Type="http://schemas.openxmlformats.org/officeDocument/2006/relationships/hyperlink" Target="https://www.amazon.com/dp/B0B93PNYCP" TargetMode="External" Id="rId14"/><Relationship Type="http://schemas.openxmlformats.org/officeDocument/2006/relationships/hyperlink" Target="https://www.amazon.com/dp/B07TT3C3HB" TargetMode="External" Id="rId15"/><Relationship Type="http://schemas.openxmlformats.org/officeDocument/2006/relationships/hyperlink" Target="https://www.amazon.com/dp/B07BND65C8" TargetMode="External" Id="rId16"/><Relationship Type="http://schemas.openxmlformats.org/officeDocument/2006/relationships/hyperlink" Target="https://www.amazon.com/s?k=Arduino+Mega+2560+R3" TargetMode="External" Id="rId17"/><Relationship Type="http://schemas.openxmlformats.org/officeDocument/2006/relationships/hyperlink" Target="https://www.amazon.com/dp/B082PCR5YS" TargetMode="External" Id="rId18"/><Relationship Type="http://schemas.openxmlformats.org/officeDocument/2006/relationships/hyperlink" Target="https://www.amazon.com/dp/B07X142VGC" TargetMode="External" Id="rId19"/><Relationship Type="http://schemas.openxmlformats.org/officeDocument/2006/relationships/hyperlink" Target="https://www.amazon.com/dp/B0GYP4NNBR" TargetMode="External" Id="rId20"/><Relationship Type="http://schemas.openxmlformats.org/officeDocument/2006/relationships/hyperlink" Target="https://www.amazon.com/dp/B078KBJNFC" TargetMode="External" Id="rId21"/><Relationship Type="http://schemas.openxmlformats.org/officeDocument/2006/relationships/hyperlink" Target="https://www.amazon.com/s?k=LJ12A3-4-Z%2FBX" TargetMode="External" Id="rId22"/><Relationship Type="http://schemas.openxmlformats.org/officeDocument/2006/relationships/hyperlink" Target="https://www.amazon.com/s?k=MG90S+metal+gear+2+pack" TargetMode="External" Id="rId23"/><Relationship Type="http://schemas.openxmlformats.org/officeDocument/2006/relationships/hyperlink" Target="https://www.amazon.com/dp/B00144862U" TargetMode="External" Id="rId24"/><Relationship Type="http://schemas.openxmlformats.org/officeDocument/2006/relationships/hyperlink" Target="https://www.amazon.com/dp/B0F47T44GH" TargetMode="External" Id="rId25"/><Relationship Type="http://schemas.openxmlformats.org/officeDocument/2006/relationships/hyperlink" Target="https://www.amazon.com/dp/B088NH81S9" TargetMode="External" Id="rId26"/><Relationship Type="http://schemas.openxmlformats.org/officeDocument/2006/relationships/hyperlink" Target="https://www.amazon.com/dp/B079KG1TN2" TargetMode="External" Id="rId27"/><Relationship Type="http://schemas.openxmlformats.org/officeDocument/2006/relationships/hyperlink" Target="https://www.amazon.com/dp/B0B5383L69" TargetMode="External" Id="rId28"/><Relationship Type="http://schemas.openxmlformats.org/officeDocument/2006/relationships/hyperlink" Target="https://www.amazon.com/dp/B0DBVYP91F" TargetMode="External" Id="rId29"/><Relationship Type="http://schemas.openxmlformats.org/officeDocument/2006/relationships/hyperlink" Target="https://www.amazon.com/dp/B0FG2964F5" TargetMode="External" Id="rId30"/><Relationship Type="http://schemas.openxmlformats.org/officeDocument/2006/relationships/hyperlink" Target="https://www.amazon.com/dp/B07XG3RM58" TargetMode="External" Id="rId31"/><Relationship Type="http://schemas.openxmlformats.org/officeDocument/2006/relationships/hyperlink" Target="https://www.amazon.com/dp/B07RZXSJBM" TargetMode="External" Id="rId32"/><Relationship Type="http://schemas.openxmlformats.org/officeDocument/2006/relationships/hyperlink" Target="https://www.amazon.com/dp/B01MFA3OFA" TargetMode="External" Id="rId33"/></Relationships>
</file>

<file path=xl/worksheets/sheet1.xml><?xml version="1.0" encoding="utf-8"?>
<worksheet xmlns="http://schemas.openxmlformats.org/spreadsheetml/2006/main">
  <sheetPr>
    <tabColor rgb="001F3A5F"/>
    <outlinePr summaryBelow="1" summaryRight="1"/>
    <pageSetUpPr/>
  </sheetPr>
  <dimension ref="A1:H54"/>
  <sheetViews>
    <sheetView showGridLines="0" workbookViewId="0">
      <selection activeCell="A1" sqref="A1"/>
    </sheetView>
  </sheetViews>
  <sheetFormatPr baseColWidth="8" defaultRowHeight="15"/>
  <cols>
    <col width="34" customWidth="1" min="1" max="1"/>
    <col width="14" customWidth="1" min="2" max="2"/>
    <col width="16" customWidth="1" min="3" max="3"/>
    <col width="16" customWidth="1" min="4" max="4"/>
    <col width="14" customWidth="1" min="5" max="5"/>
    <col width="14" customWidth="1" min="6" max="6"/>
    <col width="14" customWidth="1" min="7" max="7"/>
    <col width="4" customWidth="1" min="8" max="8"/>
  </cols>
  <sheetData>
    <row r="1">
      <c r="A1" s="1" t="inlineStr">
        <is>
          <t>Presupuesto · SCARA MathBot</t>
        </is>
      </c>
      <c r="B1" s="2" t="n"/>
      <c r="C1" s="2" t="n"/>
      <c r="D1" s="2" t="n"/>
      <c r="E1" s="2" t="n"/>
      <c r="F1" s="2" t="n"/>
      <c r="G1" s="2" t="n"/>
      <c r="H1" s="2" t="n"/>
    </row>
    <row r="2" ht="30" customHeight="1">
      <c r="A2" s="3" t="inlineStr">
        <is>
          <t>SCARA de HowToMechatronics con columna Z recortada y cabezal de disco (versión final): plumón, electroimán y sensor inductivo. Precios locales de Electrónica 2001 y Steren verificados en línea el 06-oct-2026; el resto, cotizar o estimado. Amazon con impuestos y casillero.</t>
        </is>
      </c>
      <c r="B2" s="2" t="n"/>
      <c r="C2" s="2" t="n"/>
      <c r="D2" s="2" t="n"/>
      <c r="E2" s="2" t="n"/>
      <c r="F2" s="2" t="n"/>
      <c r="G2" s="2" t="n"/>
      <c r="H2" s="2" t="n"/>
    </row>
    <row r="3">
      <c r="A3" s="2" t="n"/>
      <c r="B3" s="2" t="n"/>
      <c r="C3" s="2" t="n"/>
      <c r="D3" s="2" t="n"/>
      <c r="E3" s="2" t="n"/>
      <c r="F3" s="2" t="n"/>
      <c r="G3" s="2" t="n"/>
      <c r="H3" s="2" t="n"/>
    </row>
    <row r="4">
      <c r="A4" s="4" t="inlineStr">
        <is>
          <t>Indicadores</t>
        </is>
      </c>
      <c r="B4" s="2" t="n"/>
      <c r="C4" s="2" t="n"/>
      <c r="D4" s="2" t="n"/>
      <c r="E4" s="2" t="n"/>
      <c r="F4" s="2" t="n"/>
      <c r="G4" s="2" t="n"/>
      <c r="H4" s="2" t="n"/>
    </row>
    <row r="5">
      <c r="A5" s="5" t="inlineStr">
        <is>
          <t>Presupuesto del equipo</t>
        </is>
      </c>
      <c r="B5" s="2" t="n"/>
      <c r="C5" s="6">
        <f>Presupuesto</f>
        <v/>
      </c>
      <c r="D5" s="7" t="inlineStr">
        <is>
          <t>← editar en Supuestos</t>
        </is>
      </c>
      <c r="E5" s="2" t="n"/>
      <c r="F5" s="2" t="n"/>
      <c r="G5" s="2" t="n"/>
      <c r="H5" s="2" t="n"/>
    </row>
    <row r="6">
      <c r="A6" s="5" t="inlineStr">
        <is>
          <t>Gastado a la fecha</t>
        </is>
      </c>
      <c r="B6" s="2" t="n"/>
      <c r="C6" s="8">
        <f>'Registro de gastos'!$L$10</f>
        <v/>
      </c>
      <c r="D6" s="2" t="n"/>
      <c r="E6" s="2" t="n"/>
      <c r="F6" s="2" t="n"/>
      <c r="G6" s="2" t="n"/>
      <c r="H6" s="2" t="n"/>
    </row>
    <row r="7">
      <c r="A7" s="5" t="inlineStr">
        <is>
          <t>Pendiente por comprar</t>
        </is>
      </c>
      <c r="B7" s="2" t="n"/>
      <c r="C7" s="8">
        <f>SUM('Lista de materiales'!$W$5:$W$54)</f>
        <v/>
      </c>
      <c r="D7" s="2" t="n"/>
      <c r="E7" s="2" t="n"/>
      <c r="F7" s="2" t="n"/>
      <c r="G7" s="2" t="n"/>
      <c r="H7" s="2" t="n"/>
    </row>
    <row r="8">
      <c r="A8" s="5" t="inlineStr">
        <is>
          <t>Contingencia sobre lo pendiente</t>
        </is>
      </c>
      <c r="B8" s="2" t="n"/>
      <c r="C8" s="8">
        <f>C7*Contingencia</f>
        <v/>
      </c>
      <c r="D8" s="2" t="n"/>
      <c r="E8" s="2" t="n"/>
      <c r="F8" s="2" t="n"/>
      <c r="G8" s="2" t="n"/>
      <c r="H8" s="2" t="n"/>
    </row>
    <row r="9">
      <c r="A9" s="5" t="inlineStr">
        <is>
          <t>Proyección final (con contingencia)</t>
        </is>
      </c>
      <c r="B9" s="2" t="n"/>
      <c r="C9" s="8">
        <f>C6+C7+C8</f>
        <v/>
      </c>
      <c r="D9" s="2" t="n"/>
      <c r="E9" s="2" t="n"/>
      <c r="F9" s="2" t="n"/>
      <c r="G9" s="2" t="n"/>
      <c r="H9" s="2" t="n"/>
    </row>
    <row r="10">
      <c r="A10" s="5" t="inlineStr">
        <is>
          <t>Presupuesto restante</t>
        </is>
      </c>
      <c r="B10" s="2" t="n"/>
      <c r="C10" s="8">
        <f>C5-C9</f>
        <v/>
      </c>
      <c r="D10" s="4">
        <f>IF(C10&lt;0,"Se pasan del presupuesto","Dentro del presupuesto")</f>
        <v/>
      </c>
      <c r="E10" s="2" t="n"/>
      <c r="F10" s="2" t="n"/>
      <c r="G10" s="2" t="n"/>
      <c r="H10" s="2" t="n"/>
    </row>
    <row r="11">
      <c r="A11" s="5" t="inlineStr">
        <is>
          <t>Uso del presupuesto</t>
        </is>
      </c>
      <c r="B11" s="2" t="n"/>
      <c r="C11" s="9">
        <f>IF(C5&gt;0,C9/C5,0)</f>
        <v/>
      </c>
      <c r="D11" s="2" t="n"/>
      <c r="E11" s="2" t="n"/>
      <c r="F11" s="2" t="n"/>
      <c r="G11" s="2" t="n"/>
      <c r="H11" s="2" t="n"/>
    </row>
    <row r="12">
      <c r="A12" s="5" t="inlineStr">
        <is>
          <t>Costo por integrante</t>
        </is>
      </c>
      <c r="B12" s="2" t="n"/>
      <c r="C12" s="8">
        <f>IF(Integrantes&gt;0,C9/Integrantes,0)</f>
        <v/>
      </c>
      <c r="D12" s="2" t="n"/>
      <c r="E12" s="2" t="n"/>
      <c r="F12" s="2" t="n"/>
      <c r="G12" s="2" t="n"/>
      <c r="H12" s="2" t="n"/>
    </row>
    <row r="13">
      <c r="A13" s="5" t="inlineStr">
        <is>
          <t>Ahorro por lo que ya tenemos</t>
        </is>
      </c>
      <c r="B13" s="2" t="n"/>
      <c r="C13" s="8">
        <f>SUMIFS('Lista de materiales'!$T$5:$T$54,'Lista de materiales'!$U$5:$U$54,"Ya lo tenemos")</f>
        <v/>
      </c>
      <c r="D13" s="2" t="n"/>
      <c r="E13" s="2" t="n"/>
      <c r="F13" s="2" t="n"/>
      <c r="G13" s="2" t="n"/>
      <c r="H13" s="2" t="n"/>
    </row>
    <row r="14">
      <c r="A14" s="5" t="inlineStr">
        <is>
          <t>Pendiente si todo se compra donde sale más barato</t>
        </is>
      </c>
      <c r="B14" s="2" t="n"/>
      <c r="C14" s="8">
        <f>SUMIFS('Lista de materiales'!$AC$5:$AC$54,'Lista de materiales'!$U$5:$U$54,"Por comprar")+SUMIFS('Lista de materiales'!$AC$5:$AC$54,'Lista de materiales'!$U$5:$U$54,"Cotizado")</f>
        <v/>
      </c>
      <c r="D14" s="7" t="inlineStr">
        <is>
          <t>← supone que las tiendas 'Cotizar' tienen el producto al precio estimado</t>
        </is>
      </c>
      <c r="E14" s="2" t="n"/>
      <c r="F14" s="2" t="n"/>
      <c r="G14" s="2" t="n"/>
      <c r="H14" s="2" t="n"/>
    </row>
    <row r="15">
      <c r="A15" s="5" t="inlineStr">
        <is>
          <t>Ahorro potencial (eligiendo siempre lo más barato)</t>
        </is>
      </c>
      <c r="B15" s="2" t="n"/>
      <c r="C15" s="8">
        <f>MAX(C7-C14,0)</f>
        <v/>
      </c>
      <c r="D15" s="2" t="n"/>
      <c r="E15" s="2" t="n"/>
      <c r="F15" s="2" t="n"/>
      <c r="G15" s="2" t="n"/>
      <c r="H15" s="2" t="n"/>
    </row>
    <row r="16">
      <c r="A16" s="2" t="n"/>
      <c r="B16" s="2" t="n"/>
      <c r="C16" s="2" t="n"/>
      <c r="D16" s="2" t="n"/>
      <c r="E16" s="2" t="n"/>
      <c r="F16" s="2" t="n"/>
      <c r="G16" s="2" t="n"/>
      <c r="H16" s="2" t="n"/>
    </row>
    <row r="17">
      <c r="A17" s="2" t="n"/>
      <c r="B17" s="2" t="n"/>
      <c r="C17" s="2" t="n"/>
      <c r="D17" s="2" t="n"/>
      <c r="E17" s="2" t="n"/>
      <c r="F17" s="2" t="n"/>
      <c r="G17" s="2" t="n"/>
      <c r="H17" s="2" t="n"/>
    </row>
    <row r="18">
      <c r="A18" s="4" t="inlineStr">
        <is>
          <t>Por categoría</t>
        </is>
      </c>
      <c r="B18" s="2" t="n"/>
      <c r="C18" s="2" t="n"/>
      <c r="D18" s="2" t="n"/>
      <c r="E18" s="2" t="n"/>
      <c r="F18" s="2" t="n"/>
      <c r="G18" s="2" t="n"/>
      <c r="H18" s="2" t="n"/>
    </row>
    <row r="19">
      <c r="A19" s="10" t="inlineStr">
        <is>
          <t>Categoría</t>
        </is>
      </c>
      <c r="B19" s="10" t="inlineStr">
        <is>
          <t>Estimado</t>
        </is>
      </c>
      <c r="C19" s="10" t="inlineStr">
        <is>
          <t>Ya lo tenemos</t>
        </is>
      </c>
      <c r="D19" s="10" t="inlineStr">
        <is>
          <t>Gastado</t>
        </is>
      </c>
      <c r="E19" s="10" t="inlineStr">
        <is>
          <t>Pendiente</t>
        </is>
      </c>
      <c r="F19" s="10" t="inlineStr">
        <is>
          <t>Proyección</t>
        </is>
      </c>
      <c r="G19" s="10" t="inlineStr">
        <is>
          <t>% del total</t>
        </is>
      </c>
      <c r="H19" s="2" t="n"/>
    </row>
    <row r="20">
      <c r="A20" s="11" t="inlineStr">
        <is>
          <t>Estructura y eje Z</t>
        </is>
      </c>
      <c r="B20" s="11">
        <f>SUMIFS('Lista de materiales'!$T$5:$T$54,'Lista de materiales'!$B$5:$B$54,A20,'Lista de materiales'!$U$5:$U$54,"&lt;&gt;No comprar")</f>
        <v/>
      </c>
      <c r="C20" s="11">
        <f>SUMIFS('Lista de materiales'!$T$5:$T$54,'Lista de materiales'!$B$5:$B$54,A20,'Lista de materiales'!$U$5:$U$54,"Ya lo tenemos")</f>
        <v/>
      </c>
      <c r="D20" s="11">
        <f>SUMIFS('Lista de materiales'!$V$5:$V$54,'Lista de materiales'!$B$5:$B$54,A20)</f>
        <v/>
      </c>
      <c r="E20" s="11">
        <f>SUMIFS('Lista de materiales'!$W$5:$W$54,'Lista de materiales'!$B$5:$B$54,A20)</f>
        <v/>
      </c>
      <c r="F20" s="11">
        <f>SUMIFS('Lista de materiales'!$X$5:$X$54,'Lista de materiales'!$B$5:$B$54,A20)</f>
        <v/>
      </c>
      <c r="G20" s="12">
        <f>IF($F$28&gt;0,F20/$F$28,0)</f>
        <v/>
      </c>
      <c r="H20" s="2" t="n"/>
    </row>
    <row r="21">
      <c r="A21" s="11" t="inlineStr">
        <is>
          <t>Rodamientos</t>
        </is>
      </c>
      <c r="B21" s="11">
        <f>SUMIFS('Lista de materiales'!$T$5:$T$54,'Lista de materiales'!$B$5:$B$54,A21,'Lista de materiales'!$U$5:$U$54,"&lt;&gt;No comprar")</f>
        <v/>
      </c>
      <c r="C21" s="11">
        <f>SUMIFS('Lista de materiales'!$T$5:$T$54,'Lista de materiales'!$B$5:$B$54,A21,'Lista de materiales'!$U$5:$U$54,"Ya lo tenemos")</f>
        <v/>
      </c>
      <c r="D21" s="11">
        <f>SUMIFS('Lista de materiales'!$V$5:$V$54,'Lista de materiales'!$B$5:$B$54,A21)</f>
        <v/>
      </c>
      <c r="E21" s="11">
        <f>SUMIFS('Lista de materiales'!$W$5:$W$54,'Lista de materiales'!$B$5:$B$54,A21)</f>
        <v/>
      </c>
      <c r="F21" s="11">
        <f>SUMIFS('Lista de materiales'!$X$5:$X$54,'Lista de materiales'!$B$5:$B$54,A21)</f>
        <v/>
      </c>
      <c r="G21" s="12">
        <f>IF($F$28&gt;0,F21/$F$28,0)</f>
        <v/>
      </c>
      <c r="H21" s="2" t="n"/>
    </row>
    <row r="22">
      <c r="A22" s="11" t="inlineStr">
        <is>
          <t>Transmisión</t>
        </is>
      </c>
      <c r="B22" s="11">
        <f>SUMIFS('Lista de materiales'!$T$5:$T$54,'Lista de materiales'!$B$5:$B$54,A22,'Lista de materiales'!$U$5:$U$54,"&lt;&gt;No comprar")</f>
        <v/>
      </c>
      <c r="C22" s="11">
        <f>SUMIFS('Lista de materiales'!$T$5:$T$54,'Lista de materiales'!$B$5:$B$54,A22,'Lista de materiales'!$U$5:$U$54,"Ya lo tenemos")</f>
        <v/>
      </c>
      <c r="D22" s="11">
        <f>SUMIFS('Lista de materiales'!$V$5:$V$54,'Lista de materiales'!$B$5:$B$54,A22)</f>
        <v/>
      </c>
      <c r="E22" s="11">
        <f>SUMIFS('Lista de materiales'!$W$5:$W$54,'Lista de materiales'!$B$5:$B$54,A22)</f>
        <v/>
      </c>
      <c r="F22" s="11">
        <f>SUMIFS('Lista de materiales'!$X$5:$X$54,'Lista de materiales'!$B$5:$B$54,A22)</f>
        <v/>
      </c>
      <c r="G22" s="12">
        <f>IF($F$28&gt;0,F22/$F$28,0)</f>
        <v/>
      </c>
      <c r="H22" s="2" t="n"/>
    </row>
    <row r="23">
      <c r="A23" s="11" t="inlineStr">
        <is>
          <t>Motores y electrónica</t>
        </is>
      </c>
      <c r="B23" s="11">
        <f>SUMIFS('Lista de materiales'!$T$5:$T$54,'Lista de materiales'!$B$5:$B$54,A23,'Lista de materiales'!$U$5:$U$54,"&lt;&gt;No comprar")</f>
        <v/>
      </c>
      <c r="C23" s="11">
        <f>SUMIFS('Lista de materiales'!$T$5:$T$54,'Lista de materiales'!$B$5:$B$54,A23,'Lista de materiales'!$U$5:$U$54,"Ya lo tenemos")</f>
        <v/>
      </c>
      <c r="D23" s="11">
        <f>SUMIFS('Lista de materiales'!$V$5:$V$54,'Lista de materiales'!$B$5:$B$54,A23)</f>
        <v/>
      </c>
      <c r="E23" s="11">
        <f>SUMIFS('Lista de materiales'!$W$5:$W$54,'Lista de materiales'!$B$5:$B$54,A23)</f>
        <v/>
      </c>
      <c r="F23" s="11">
        <f>SUMIFS('Lista de materiales'!$X$5:$X$54,'Lista de materiales'!$B$5:$B$54,A23)</f>
        <v/>
      </c>
      <c r="G23" s="12">
        <f>IF($F$28&gt;0,F23/$F$28,0)</f>
        <v/>
      </c>
      <c r="H23" s="2" t="n"/>
    </row>
    <row r="24">
      <c r="A24" s="11" t="inlineStr">
        <is>
          <t>Cabezal de disco</t>
        </is>
      </c>
      <c r="B24" s="11">
        <f>SUMIFS('Lista de materiales'!$T$5:$T$54,'Lista de materiales'!$B$5:$B$54,A24,'Lista de materiales'!$U$5:$U$54,"&lt;&gt;No comprar")</f>
        <v/>
      </c>
      <c r="C24" s="11">
        <f>SUMIFS('Lista de materiales'!$T$5:$T$54,'Lista de materiales'!$B$5:$B$54,A24,'Lista de materiales'!$U$5:$U$54,"Ya lo tenemos")</f>
        <v/>
      </c>
      <c r="D24" s="11">
        <f>SUMIFS('Lista de materiales'!$V$5:$V$54,'Lista de materiales'!$B$5:$B$54,A24)</f>
        <v/>
      </c>
      <c r="E24" s="11">
        <f>SUMIFS('Lista de materiales'!$W$5:$W$54,'Lista de materiales'!$B$5:$B$54,A24)</f>
        <v/>
      </c>
      <c r="F24" s="11">
        <f>SUMIFS('Lista de materiales'!$X$5:$X$54,'Lista de materiales'!$B$5:$B$54,A24)</f>
        <v/>
      </c>
      <c r="G24" s="12">
        <f>IF($F$28&gt;0,F24/$F$28,0)</f>
        <v/>
      </c>
      <c r="H24" s="2" t="n"/>
    </row>
    <row r="25">
      <c r="A25" s="11" t="inlineStr">
        <is>
          <t>Electrónica MathBot</t>
        </is>
      </c>
      <c r="B25" s="11">
        <f>SUMIFS('Lista de materiales'!$T$5:$T$54,'Lista de materiales'!$B$5:$B$54,A25,'Lista de materiales'!$U$5:$U$54,"&lt;&gt;No comprar")</f>
        <v/>
      </c>
      <c r="C25" s="11">
        <f>SUMIFS('Lista de materiales'!$T$5:$T$54,'Lista de materiales'!$B$5:$B$54,A25,'Lista de materiales'!$U$5:$U$54,"Ya lo tenemos")</f>
        <v/>
      </c>
      <c r="D25" s="11">
        <f>SUMIFS('Lista de materiales'!$V$5:$V$54,'Lista de materiales'!$B$5:$B$54,A25)</f>
        <v/>
      </c>
      <c r="E25" s="11">
        <f>SUMIFS('Lista de materiales'!$W$5:$W$54,'Lista de materiales'!$B$5:$B$54,A25)</f>
        <v/>
      </c>
      <c r="F25" s="11">
        <f>SUMIFS('Lista de materiales'!$X$5:$X$54,'Lista de materiales'!$B$5:$B$54,A25)</f>
        <v/>
      </c>
      <c r="G25" s="12">
        <f>IF($F$28&gt;0,F25/$F$28,0)</f>
        <v/>
      </c>
      <c r="H25" s="2" t="n"/>
    </row>
    <row r="26">
      <c r="A26" s="11" t="inlineStr">
        <is>
          <t>Tornillería</t>
        </is>
      </c>
      <c r="B26" s="11">
        <f>SUMIFS('Lista de materiales'!$T$5:$T$54,'Lista de materiales'!$B$5:$B$54,A26,'Lista de materiales'!$U$5:$U$54,"&lt;&gt;No comprar")</f>
        <v/>
      </c>
      <c r="C26" s="11">
        <f>SUMIFS('Lista de materiales'!$T$5:$T$54,'Lista de materiales'!$B$5:$B$54,A26,'Lista de materiales'!$U$5:$U$54,"Ya lo tenemos")</f>
        <v/>
      </c>
      <c r="D26" s="11">
        <f>SUMIFS('Lista de materiales'!$V$5:$V$54,'Lista de materiales'!$B$5:$B$54,A26)</f>
        <v/>
      </c>
      <c r="E26" s="11">
        <f>SUMIFS('Lista de materiales'!$W$5:$W$54,'Lista de materiales'!$B$5:$B$54,A26)</f>
        <v/>
      </c>
      <c r="F26" s="11">
        <f>SUMIFS('Lista de materiales'!$X$5:$X$54,'Lista de materiales'!$B$5:$B$54,A26)</f>
        <v/>
      </c>
      <c r="G26" s="12">
        <f>IF($F$28&gt;0,F26/$F$28,0)</f>
        <v/>
      </c>
      <c r="H26" s="2" t="n"/>
    </row>
    <row r="27">
      <c r="A27" s="11" t="inlineStr">
        <is>
          <t>Impresión y varios</t>
        </is>
      </c>
      <c r="B27" s="11">
        <f>SUMIFS('Lista de materiales'!$T$5:$T$54,'Lista de materiales'!$B$5:$B$54,A27,'Lista de materiales'!$U$5:$U$54,"&lt;&gt;No comprar")</f>
        <v/>
      </c>
      <c r="C27" s="11">
        <f>SUMIFS('Lista de materiales'!$T$5:$T$54,'Lista de materiales'!$B$5:$B$54,A27,'Lista de materiales'!$U$5:$U$54,"Ya lo tenemos")</f>
        <v/>
      </c>
      <c r="D27" s="11">
        <f>SUMIFS('Lista de materiales'!$V$5:$V$54,'Lista de materiales'!$B$5:$B$54,A27)</f>
        <v/>
      </c>
      <c r="E27" s="11">
        <f>SUMIFS('Lista de materiales'!$W$5:$W$54,'Lista de materiales'!$B$5:$B$54,A27)</f>
        <v/>
      </c>
      <c r="F27" s="11">
        <f>SUMIFS('Lista de materiales'!$X$5:$X$54,'Lista de materiales'!$B$5:$B$54,A27)</f>
        <v/>
      </c>
      <c r="G27" s="12">
        <f>IF($F$28&gt;0,F27/$F$28,0)</f>
        <v/>
      </c>
      <c r="H27" s="2" t="n"/>
    </row>
    <row r="28">
      <c r="A28" s="4" t="inlineStr">
        <is>
          <t>Total</t>
        </is>
      </c>
      <c r="B28" s="13">
        <f>SUM(B20:B27)</f>
        <v/>
      </c>
      <c r="C28" s="13">
        <f>SUM(C20:C27)</f>
        <v/>
      </c>
      <c r="D28" s="13">
        <f>SUM(D20:D27)</f>
        <v/>
      </c>
      <c r="E28" s="13">
        <f>SUM(E20:E27)</f>
        <v/>
      </c>
      <c r="F28" s="13">
        <f>SUM(F20:F27)</f>
        <v/>
      </c>
      <c r="G28" s="14">
        <f>SUM(G20:G27)</f>
        <v/>
      </c>
      <c r="H28" s="2" t="n"/>
    </row>
    <row r="29">
      <c r="A29" s="2" t="n"/>
      <c r="B29" s="2" t="n"/>
      <c r="C29" s="2" t="n"/>
      <c r="D29" s="2" t="n"/>
      <c r="E29" s="2" t="n"/>
      <c r="F29" s="2" t="n"/>
      <c r="G29" s="2" t="n"/>
      <c r="H29" s="2" t="n"/>
    </row>
    <row r="30">
      <c r="A30" s="4" t="inlineStr">
        <is>
          <t>Por fuente (lo que falta comprar)</t>
        </is>
      </c>
      <c r="B30" s="2" t="n"/>
      <c r="C30" s="2" t="n"/>
      <c r="D30" s="2" t="n"/>
      <c r="E30" s="4" t="inlineStr">
        <is>
          <t>Por prioridad</t>
        </is>
      </c>
      <c r="F30" s="2" t="n"/>
      <c r="G30" s="2" t="n"/>
      <c r="H30" s="2" t="n"/>
    </row>
    <row r="31">
      <c r="A31" s="10" t="inlineStr">
        <is>
          <t>Fuente</t>
        </is>
      </c>
      <c r="B31" s="10" t="inlineStr">
        <is>
          <t>Pendiente</t>
        </is>
      </c>
      <c r="C31" s="10" t="inlineStr">
        <is>
          <t>Proyección</t>
        </is>
      </c>
      <c r="D31" s="2" t="n"/>
      <c r="E31" s="10" t="inlineStr">
        <is>
          <t>Prioridad</t>
        </is>
      </c>
      <c r="F31" s="10" t="inlineStr">
        <is>
          <t>Pendiente</t>
        </is>
      </c>
      <c r="G31" s="10" t="inlineStr">
        <is>
          <t>Proyección</t>
        </is>
      </c>
      <c r="H31" s="2" t="n"/>
    </row>
    <row r="32">
      <c r="A32" s="15" t="inlineStr">
        <is>
          <t>Local</t>
        </is>
      </c>
      <c r="B32" s="15">
        <f>SUMIFS('Lista de materiales'!$W$5:$W$54,'Lista de materiales'!$S$5:$S$54,A32)</f>
        <v/>
      </c>
      <c r="C32" s="15">
        <f>SUMIFS('Lista de materiales'!$X$5:$X$54,'Lista de materiales'!$S$5:$S$54,A32)</f>
        <v/>
      </c>
      <c r="D32" s="2" t="n"/>
      <c r="E32" s="15" t="inlineStr">
        <is>
          <t>Obligatorio</t>
        </is>
      </c>
      <c r="F32" s="15">
        <f>SUMIFS('Lista de materiales'!$W$5:$W$54,'Lista de materiales'!$H$5:$H$54,E32)</f>
        <v/>
      </c>
      <c r="G32" s="15">
        <f>SUMIFS('Lista de materiales'!$X$5:$X$54,'Lista de materiales'!$H$5:$H$54,E32)</f>
        <v/>
      </c>
      <c r="H32" s="2" t="n"/>
    </row>
    <row r="33">
      <c r="A33" s="15" t="inlineStr">
        <is>
          <t>Amazon</t>
        </is>
      </c>
      <c r="B33" s="15">
        <f>SUMIFS('Lista de materiales'!$W$5:$W$54,'Lista de materiales'!$S$5:$S$54,A33)</f>
        <v/>
      </c>
      <c r="C33" s="15">
        <f>SUMIFS('Lista de materiales'!$X$5:$X$54,'Lista de materiales'!$S$5:$S$54,A33)</f>
        <v/>
      </c>
      <c r="D33" s="2" t="n"/>
      <c r="E33" s="15" t="inlineStr">
        <is>
          <t>Recomendado</t>
        </is>
      </c>
      <c r="F33" s="15">
        <f>SUMIFS('Lista de materiales'!$W$5:$W$54,'Lista de materiales'!$H$5:$H$54,E33)</f>
        <v/>
      </c>
      <c r="G33" s="15">
        <f>SUMIFS('Lista de materiales'!$X$5:$X$54,'Lista de materiales'!$H$5:$H$54,E33)</f>
        <v/>
      </c>
      <c r="H33" s="2" t="n"/>
    </row>
    <row r="34">
      <c r="A34" s="2" t="n"/>
      <c r="B34" s="2" t="n"/>
      <c r="C34" s="2" t="n"/>
      <c r="D34" s="2" t="n"/>
      <c r="E34" s="15" t="inlineStr">
        <is>
          <t>Opcional</t>
        </is>
      </c>
      <c r="F34" s="15">
        <f>SUMIFS('Lista de materiales'!$W$5:$W$54,'Lista de materiales'!$H$5:$H$54,E34)</f>
        <v/>
      </c>
      <c r="G34" s="15">
        <f>SUMIFS('Lista de materiales'!$X$5:$X$54,'Lista de materiales'!$H$5:$H$54,E34)</f>
        <v/>
      </c>
      <c r="H34" s="2" t="n"/>
    </row>
    <row r="35">
      <c r="A35" s="2" t="inlineStr">
        <is>
          <t>Valor en factura Amazon por comprar (USD)</t>
        </is>
      </c>
      <c r="B35" s="2" t="n"/>
      <c r="C35" s="16">
        <f>SUM('Lista de materiales'!$AB$5:$AB$54)</f>
        <v/>
      </c>
      <c r="D35" s="2" t="n"/>
      <c r="E35" s="2" t="n"/>
      <c r="F35" s="2" t="n"/>
      <c r="G35" s="2" t="n"/>
      <c r="H35" s="2" t="n"/>
    </row>
    <row r="36">
      <c r="A36" s="2" t="inlineStr">
        <is>
          <t>Valor por envío (según número de envíos)</t>
        </is>
      </c>
      <c r="B36" s="2" t="n"/>
      <c r="C36" s="16">
        <f>IF(EnviosCasillero&gt;0,C35/EnviosCasillero,C35)</f>
        <v/>
      </c>
      <c r="D36" s="2" t="n"/>
      <c r="E36" s="7" t="inlineStr">
        <is>
          <t>Los opcionales empiezan en 'No comprar': no suman hasta que cambien su estado.</t>
        </is>
      </c>
      <c r="F36" s="2" t="n"/>
      <c r="G36" s="2" t="n"/>
      <c r="H36" s="2" t="n"/>
    </row>
    <row r="37">
      <c r="A37" s="4">
        <f>IF(C36&gt;LimiteFranquicia,"Cada envío supera USD 300: dividan la compra en más envíos para pagar solo IVA.","Cada envío queda bajo USD 300: solo pagan 13 % de IVA en aduana.")</f>
        <v/>
      </c>
      <c r="B37" s="2" t="n"/>
      <c r="C37" s="2" t="n"/>
      <c r="D37" s="2" t="n"/>
      <c r="E37" s="2" t="n"/>
      <c r="F37" s="2" t="n"/>
      <c r="G37" s="2" t="n"/>
      <c r="H37" s="2" t="n"/>
    </row>
    <row r="38">
      <c r="A38" s="2" t="n"/>
      <c r="B38" s="2" t="n"/>
      <c r="C38" s="2" t="n"/>
      <c r="D38" s="2" t="n"/>
      <c r="E38" s="2" t="n"/>
      <c r="F38" s="2" t="n"/>
      <c r="G38" s="2" t="n"/>
      <c r="H38" s="2" t="n"/>
    </row>
    <row r="39">
      <c r="A39" s="4" t="inlineStr">
        <is>
          <t>Pagado por integrante</t>
        </is>
      </c>
      <c r="B39" s="2" t="n"/>
      <c r="C39" s="2" t="n"/>
      <c r="D39" s="2" t="n"/>
      <c r="E39" s="2" t="n"/>
      <c r="F39" s="2" t="n"/>
      <c r="G39" s="2" t="n"/>
      <c r="H39" s="2" t="n"/>
    </row>
    <row r="40">
      <c r="A40" s="17" t="inlineStr">
        <is>
          <t>Integrante</t>
        </is>
      </c>
      <c r="B40" s="17" t="inlineStr">
        <is>
          <t>Pagado</t>
        </is>
      </c>
      <c r="C40" s="17" t="inlineStr">
        <is>
          <t>Le toca (proyección / integrantes)</t>
        </is>
      </c>
      <c r="D40" s="17" t="inlineStr">
        <is>
          <t>Diferencia</t>
        </is>
      </c>
      <c r="E40" s="2" t="n"/>
      <c r="F40" s="2" t="n"/>
      <c r="G40" s="2" t="n"/>
      <c r="H40" s="2" t="n"/>
    </row>
    <row r="41">
      <c r="A41" s="18">
        <f>INDEX(Miembros,1)</f>
        <v/>
      </c>
      <c r="B41" s="15">
        <f>SUMIFS('Registro de gastos'!$F$10:$F$400,'Registro de gastos'!$G$10:$G$400,A41)</f>
        <v/>
      </c>
      <c r="C41" s="15">
        <f>$C$12</f>
        <v/>
      </c>
      <c r="D41" s="15">
        <f>B41-C41</f>
        <v/>
      </c>
      <c r="E41" s="2" t="n"/>
      <c r="F41" s="2" t="n"/>
      <c r="G41" s="2" t="n"/>
      <c r="H41" s="2" t="n"/>
    </row>
    <row r="42">
      <c r="A42" s="18">
        <f>INDEX(Miembros,2)</f>
        <v/>
      </c>
      <c r="B42" s="15">
        <f>SUMIFS('Registro de gastos'!$F$10:$F$400,'Registro de gastos'!$G$10:$G$400,A42)</f>
        <v/>
      </c>
      <c r="C42" s="15">
        <f>$C$12</f>
        <v/>
      </c>
      <c r="D42" s="15">
        <f>B42-C42</f>
        <v/>
      </c>
      <c r="E42" s="2" t="n"/>
      <c r="F42" s="2" t="n"/>
      <c r="G42" s="2" t="n"/>
      <c r="H42" s="2" t="n"/>
    </row>
    <row r="43">
      <c r="A43" s="18">
        <f>INDEX(Miembros,3)</f>
        <v/>
      </c>
      <c r="B43" s="15">
        <f>SUMIFS('Registro de gastos'!$F$10:$F$400,'Registro de gastos'!$G$10:$G$400,A43)</f>
        <v/>
      </c>
      <c r="C43" s="15">
        <f>$C$12</f>
        <v/>
      </c>
      <c r="D43" s="15">
        <f>B43-C43</f>
        <v/>
      </c>
      <c r="E43" s="2" t="n"/>
      <c r="F43" s="2" t="n"/>
      <c r="G43" s="2" t="n"/>
      <c r="H43" s="2" t="n"/>
    </row>
    <row r="44">
      <c r="A44" s="18">
        <f>INDEX(Miembros,4)</f>
        <v/>
      </c>
      <c r="B44" s="15">
        <f>SUMIFS('Registro de gastos'!$F$10:$F$400,'Registro de gastos'!$G$10:$G$400,A44)</f>
        <v/>
      </c>
      <c r="C44" s="15">
        <f>$C$12</f>
        <v/>
      </c>
      <c r="D44" s="15">
        <f>B44-C44</f>
        <v/>
      </c>
      <c r="E44" s="2" t="n"/>
      <c r="F44" s="2" t="n"/>
      <c r="G44" s="2" t="n"/>
      <c r="H44" s="2" t="n"/>
    </row>
    <row r="45">
      <c r="A45" s="2" t="n"/>
      <c r="B45" s="2" t="n"/>
      <c r="C45" s="2" t="n"/>
      <c r="D45" s="2" t="n"/>
      <c r="E45" s="2" t="n"/>
      <c r="F45" s="2" t="n"/>
      <c r="G45" s="2" t="n"/>
      <c r="H45" s="2" t="n"/>
    </row>
    <row r="46">
      <c r="A46" s="7" t="inlineStr">
        <is>
          <t>Diferencia positiva = ha puesto más de lo que le toca.</t>
        </is>
      </c>
      <c r="B46" s="2" t="n"/>
      <c r="C46" s="2" t="n"/>
      <c r="D46" s="2" t="n"/>
      <c r="E46" s="2" t="n"/>
      <c r="F46" s="2" t="n"/>
      <c r="G46" s="2" t="n"/>
      <c r="H46" s="2" t="n"/>
    </row>
    <row r="47">
      <c r="A47" s="2" t="n"/>
      <c r="B47" s="2" t="n"/>
      <c r="C47" s="2" t="n"/>
      <c r="D47" s="2" t="n"/>
      <c r="E47" s="2" t="n"/>
      <c r="F47" s="2" t="n"/>
      <c r="G47" s="2" t="n"/>
      <c r="H47" s="2" t="n"/>
    </row>
    <row r="48">
      <c r="A48" s="2" t="n"/>
      <c r="B48" s="2" t="n"/>
      <c r="C48" s="2" t="n"/>
      <c r="D48" s="2" t="n"/>
      <c r="E48" s="2" t="n"/>
      <c r="F48" s="2" t="n"/>
      <c r="G48" s="2" t="n"/>
      <c r="H48" s="2" t="n"/>
    </row>
    <row r="49">
      <c r="A49" s="4" t="inlineStr">
        <is>
          <t>Cómo usarlo</t>
        </is>
      </c>
      <c r="B49" s="2" t="n"/>
      <c r="C49" s="2" t="n"/>
      <c r="D49" s="2" t="n"/>
      <c r="E49" s="2" t="n"/>
      <c r="F49" s="2" t="n"/>
      <c r="G49" s="2" t="n"/>
      <c r="H49" s="2" t="n"/>
    </row>
    <row r="50">
      <c r="A50" s="5" t="inlineStr">
        <is>
          <t>1. En Supuestos: presupuesto, nombres del equipo, número de envíos del casillero.</t>
        </is>
      </c>
      <c r="B50" s="2" t="n"/>
      <c r="C50" s="2" t="n"/>
      <c r="D50" s="2" t="n"/>
      <c r="E50" s="2" t="n"/>
      <c r="F50" s="2" t="n"/>
      <c r="G50" s="2" t="n"/>
      <c r="H50" s="2" t="n"/>
    </row>
    <row r="51">
      <c r="A51" s="5" t="inlineStr">
        <is>
          <t>2. En Lista de materiales marquen el Estado de cada fila: 'Ya lo tenemos' (no se compra), 'Cotizado' (actualicen el precio local), 'Comprado'.</t>
        </is>
      </c>
      <c r="B51" s="2" t="n"/>
      <c r="C51" s="2" t="n"/>
      <c r="D51" s="2" t="n"/>
      <c r="E51" s="2" t="n"/>
      <c r="F51" s="2" t="n"/>
      <c r="G51" s="2" t="n"/>
      <c r="H51" s="2" t="n"/>
    </row>
    <row r="52">
      <c r="A52" s="5" t="inlineStr">
        <is>
          <t>3. Cambien 'Fuente elegida' a Local o Amazon; si se pinta naranja, la otra opción sale más barata.</t>
        </is>
      </c>
      <c r="B52" s="2" t="n"/>
      <c r="C52" s="2" t="n"/>
      <c r="D52" s="2" t="n"/>
      <c r="E52" s="2" t="n"/>
      <c r="F52" s="2" t="n"/>
      <c r="G52" s="2" t="n"/>
      <c r="H52" s="2" t="n"/>
    </row>
    <row r="53">
      <c r="A53" s="5" t="inlineStr">
        <is>
          <t>4. Cada pago va a Registro de gastos con el ID del ítem: el resumen y 'Gastado real' se actualizan solos.</t>
        </is>
      </c>
      <c r="B53" s="2" t="n"/>
      <c r="C53" s="2" t="n"/>
      <c r="D53" s="2" t="n"/>
      <c r="E53" s="2" t="n"/>
      <c r="F53" s="2" t="n"/>
      <c r="G53" s="2" t="n"/>
      <c r="H53" s="2" t="n"/>
    </row>
    <row r="54">
      <c r="A54" s="5" t="inlineStr">
        <is>
          <t>5. En Impresión 3D marquen las piezas impresas; los rollos de filamento a comprar salen de ahí.</t>
        </is>
      </c>
      <c r="B54" s="2" t="n"/>
      <c r="C54" s="2" t="n"/>
      <c r="D54" s="2" t="n"/>
      <c r="E54" s="2" t="n"/>
      <c r="F54" s="2" t="n"/>
      <c r="G54" s="2" t="n"/>
      <c r="H54" s="2" t="n"/>
    </row>
  </sheetData>
  <mergeCells count="12">
    <mergeCell ref="A15:B15"/>
    <mergeCell ref="A7:B7"/>
    <mergeCell ref="A2:H2"/>
    <mergeCell ref="A11:B11"/>
    <mergeCell ref="A10:B10"/>
    <mergeCell ref="A5:B5"/>
    <mergeCell ref="A13:B13"/>
    <mergeCell ref="A14:B14"/>
    <mergeCell ref="A9:B9"/>
    <mergeCell ref="A8:B8"/>
    <mergeCell ref="A6:B6"/>
    <mergeCell ref="A12:B12"/>
  </mergeCells>
  <conditionalFormatting sqref="C10">
    <cfRule type="cellIs" priority="1" operator="lessThan" dxfId="0">
      <formula>0</formula>
    </cfRule>
  </conditionalFormatting>
  <conditionalFormatting sqref="D10">
    <cfRule type="expression" priority="2" dxfId="1">
      <formula>$C$10&lt;0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2F7BD6"/>
    <outlinePr summaryBelow="1" summaryRight="1"/>
    <pageSetUpPr/>
  </sheetPr>
  <dimension ref="A1:AC5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30" customWidth="1" min="3" max="3"/>
    <col width="26" customWidth="1" min="4" max="4"/>
    <col width="28" customWidth="1" min="5" max="5"/>
    <col width="9" customWidth="1" min="6" max="6"/>
    <col width="7" customWidth="1" min="7" max="7"/>
    <col width="12" customWidth="1" min="8" max="8"/>
    <col width="26" customWidth="1" min="9" max="9"/>
    <col width="11" customWidth="1" min="10" max="10"/>
    <col width="8" customWidth="1" min="11" max="11"/>
    <col width="20" customWidth="1" min="12" max="12"/>
    <col width="11" customWidth="1" min="13" max="13"/>
    <col width="8" customWidth="1" min="14" max="14"/>
    <col width="8" customWidth="1" min="15" max="15"/>
    <col width="11" customWidth="1" min="16" max="16"/>
    <col width="13" customWidth="1" min="17" max="17"/>
    <col width="10" customWidth="1" min="18" max="18"/>
    <col width="10" customWidth="1" min="19" max="19"/>
    <col width="12" customWidth="1" min="20" max="20"/>
    <col width="13" customWidth="1" min="21" max="21"/>
    <col width="11" customWidth="1" min="22" max="22"/>
    <col width="11" customWidth="1" min="23" max="23"/>
    <col width="12" customWidth="1" min="24" max="24"/>
    <col width="14" customWidth="1" min="25" max="25"/>
    <col width="30" customWidth="1" min="26" max="26"/>
    <col width="52" customWidth="1" min="27" max="27"/>
    <col width="12" customWidth="1" min="28" max="28"/>
    <col width="12" customWidth="1" min="29" max="29"/>
  </cols>
  <sheetData>
    <row r="1">
      <c r="A1" s="19" t="inlineStr">
        <is>
          <t>Lista de materiales · SCARA MathBot (HowToMechatronics + cabezal de disco)</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30" customHeight="1">
      <c r="A2" s="20" t="inlineStr">
        <is>
          <t>Editables (amarillo, texto azul): cantidad, precios, fuente elegida, estado y responsable. Negro = fórmula. Verde = viene de otra hoja. 'Total Amazon puesto en SV' incluye impuesto de EE. UU., flete del casillero e IVA de aduana (ver Supuestos). Precios consultados el 06-oct-2026.</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42" customHeight="1">
      <c r="A4" s="21" t="inlineStr">
        <is>
          <t>ID</t>
        </is>
      </c>
      <c r="B4" s="21" t="inlineStr">
        <is>
          <t>Categoría</t>
        </is>
      </c>
      <c r="C4" s="21" t="inlineStr">
        <is>
          <t>Componente</t>
        </is>
      </c>
      <c r="D4" s="21" t="inlineStr">
        <is>
          <t>Especificación / modelo</t>
        </is>
      </c>
      <c r="E4" s="21" t="inlineStr">
        <is>
          <t>Uso en el robot</t>
        </is>
      </c>
      <c r="F4" s="21" t="inlineStr">
        <is>
          <t>Origen</t>
        </is>
      </c>
      <c r="G4" s="21" t="inlineStr">
        <is>
          <t>Cant.</t>
        </is>
      </c>
      <c r="H4" s="21" t="inlineStr">
        <is>
          <t>Prioridad</t>
        </is>
      </c>
      <c r="I4" s="21" t="inlineStr">
        <is>
          <t>Tienda local sugerida</t>
        </is>
      </c>
      <c r="J4" s="21" t="inlineStr">
        <is>
          <t>Precio local (USD/paq.)</t>
        </is>
      </c>
      <c r="K4" s="21" t="inlineStr">
        <is>
          <t>Unid./paq. local</t>
        </is>
      </c>
      <c r="L4" s="21" t="inlineStr">
        <is>
          <t>Precio local: verificación</t>
        </is>
      </c>
      <c r="M4" s="21" t="inlineStr">
        <is>
          <t>Precio Amazon (USD/paq.)</t>
        </is>
      </c>
      <c r="N4" s="21" t="inlineStr">
        <is>
          <t>Unid./paq. Amazon</t>
        </is>
      </c>
      <c r="O4" s="21" t="inlineStr">
        <is>
          <t>Peso paq. (lb)</t>
        </is>
      </c>
      <c r="P4" s="21" t="inlineStr">
        <is>
          <t>Total local (USD)</t>
        </is>
      </c>
      <c r="Q4" s="21" t="inlineStr">
        <is>
          <t>Total Amazon puesto en SV (USD)</t>
        </is>
      </c>
      <c r="R4" s="21" t="inlineStr">
        <is>
          <t>Opción más barata</t>
        </is>
      </c>
      <c r="S4" s="21" t="inlineStr">
        <is>
          <t>Fuente elegida</t>
        </is>
      </c>
      <c r="T4" s="21" t="inlineStr">
        <is>
          <t>Costo estimado (USD)</t>
        </is>
      </c>
      <c r="U4" s="21" t="inlineStr">
        <is>
          <t>Estado</t>
        </is>
      </c>
      <c r="V4" s="21" t="inlineStr">
        <is>
          <t>Gastado real (USD)</t>
        </is>
      </c>
      <c r="W4" s="21" t="inlineStr">
        <is>
          <t>Pendiente (USD)</t>
        </is>
      </c>
      <c r="X4" s="21" t="inlineStr">
        <is>
          <t>Proyección (USD)</t>
        </is>
      </c>
      <c r="Y4" s="21" t="inlineStr">
        <is>
          <t>Responsable</t>
        </is>
      </c>
      <c r="Z4" s="21" t="inlineStr">
        <is>
          <t>Enlace Amazon</t>
        </is>
      </c>
      <c r="AA4" s="21" t="inlineStr">
        <is>
          <t>Notas / fuente del precio</t>
        </is>
      </c>
      <c r="AB4" s="21" t="inlineStr">
        <is>
          <t>Valor factura Amazon (USD)</t>
        </is>
      </c>
      <c r="AC4" s="21" t="inlineStr">
        <is>
          <t>Opción más barata (USD)</t>
        </is>
      </c>
    </row>
    <row r="5">
      <c r="A5" s="22" t="inlineStr">
        <is>
          <t>MEC-01</t>
        </is>
      </c>
      <c r="B5" s="23" t="inlineStr">
        <is>
          <t>Estructura y eje Z</t>
        </is>
      </c>
      <c r="C5" s="24" t="inlineStr">
        <is>
          <t>Varilla lisa Ø10 mm</t>
        </is>
      </c>
      <c r="D5" s="24" t="inlineStr">
        <is>
          <t>Acero endurecido, 300 mm (cortar)</t>
        </is>
      </c>
      <c r="E5" s="24" t="inlineStr">
        <is>
          <t>4 guías de la columna Z</t>
        </is>
      </c>
      <c r="F5" s="23" t="inlineStr">
        <is>
          <t>HTM</t>
        </is>
      </c>
      <c r="G5" s="25" t="n">
        <v>4</v>
      </c>
      <c r="H5" s="23" t="inlineStr">
        <is>
          <t>Obligatorio</t>
        </is>
      </c>
      <c r="I5" s="24" t="inlineStr">
        <is>
          <t>Creativo 3D (repuestos de impresoras)</t>
        </is>
      </c>
      <c r="J5" s="26" t="n">
        <v>8</v>
      </c>
      <c r="K5" s="25" t="n">
        <v>1</v>
      </c>
      <c r="L5" s="24" t="inlineStr">
        <is>
          <t>Cotizar (estimado)</t>
        </is>
      </c>
      <c r="M5" s="26" t="n">
        <v>17.99</v>
      </c>
      <c r="N5" s="25" t="n">
        <v>4</v>
      </c>
      <c r="O5" s="27" t="n">
        <v>1.8</v>
      </c>
      <c r="P5" s="28">
        <f>IF(J5="","",ROUNDUP(G5/K5,0)*J5*(1-IF(ISNUMBER(SEARCH("Casa Rivas",I5)),DescCasaRivas,0)))</f>
        <v/>
      </c>
      <c r="Q5" s="28">
        <f>IF(M5="","",ROUNDUP(G5/N5,0)*(M5*(1+TasaVentasEEUU)+O5*FleteLb*(1+IVA)+M5*(1+RecargoCIF)*IVA))</f>
        <v/>
      </c>
      <c r="R5" s="23">
        <f>IF(AND(ISNUMBER(P5),ISNUMBER(Q5)),IF(P5&lt;=Q5,"Local","Amazon"),IF(ISNUMBER(P5),"Local",IF(ISNUMBER(Q5),"Amazon","—")))</f>
        <v/>
      </c>
      <c r="S5" s="25" t="inlineStr">
        <is>
          <t>Amazon</t>
        </is>
      </c>
      <c r="T5" s="28">
        <f>IF(S5="Amazon",IF(ISNUMBER(Q5),Q5,0),IF(ISNUMBER(P5),P5,0))</f>
        <v/>
      </c>
      <c r="U5" s="25" t="inlineStr">
        <is>
          <t>Por comprar</t>
        </is>
      </c>
      <c r="V5" s="28">
        <f>SUMIFS('Registro de gastos'!$F$10:$F$400,'Registro de gastos'!$B$10:$B$400,A5)</f>
        <v/>
      </c>
      <c r="W5" s="28">
        <f>IF(OR(U5="Por comprar",U5="Cotizado"),MAX(T5-V5,0),0)</f>
        <v/>
      </c>
      <c r="X5" s="28">
        <f>V5+W5</f>
        <v/>
      </c>
      <c r="Y5" s="25" t="n"/>
      <c r="Z5" s="29" t="inlineStr">
        <is>
          <t>https://www.amazon.com/dp/B0D2312R72</t>
        </is>
      </c>
      <c r="AA5" s="30" t="inlineStr">
        <is>
          <t>HTM usa 400 mm. Con el cabezal de disco v3 bastan 250 mm (NEMA estándar en J2) o 240 mm (NEMA corto): comprar 300 y cortar.</t>
        </is>
      </c>
      <c r="AB5" s="28">
        <f>IF(AND(S5="Amazon",ISNUMBER(M5),W5&gt;0),ROUNDUP(G5/N5,0)*M5,0)</f>
        <v/>
      </c>
      <c r="AC5" s="28">
        <f>IF(AND(ISNUMBER(P5),ISNUMBER(Q5)),MIN(P5,Q5),IF(ISNUMBER(P5),P5,IF(ISNUMBER(Q5),Q5,0)))</f>
        <v/>
      </c>
    </row>
    <row r="6">
      <c r="A6" s="22" t="inlineStr">
        <is>
          <t>MEC-02</t>
        </is>
      </c>
      <c r="B6" s="23" t="inlineStr">
        <is>
          <t>Estructura y eje Z</t>
        </is>
      </c>
      <c r="C6" s="24" t="inlineStr">
        <is>
          <t>Rodamiento lineal LM10UU</t>
        </is>
      </c>
      <c r="D6" s="24" t="inlineStr">
        <is>
          <t>10 × 19 × 29 mm</t>
        </is>
      </c>
      <c r="E6" s="24" t="inlineStr">
        <is>
          <t>Plataforma Z (desliza en las varillas)</t>
        </is>
      </c>
      <c r="F6" s="23" t="inlineStr">
        <is>
          <t>HTM</t>
        </is>
      </c>
      <c r="G6" s="25" t="n">
        <v>4</v>
      </c>
      <c r="H6" s="23" t="inlineStr">
        <is>
          <t>Obligatorio</t>
        </is>
      </c>
      <c r="I6" s="24" t="inlineStr">
        <is>
          <t>Creativo 3D / CEROSA</t>
        </is>
      </c>
      <c r="J6" s="26" t="n">
        <v>3</v>
      </c>
      <c r="K6" s="25" t="n">
        <v>1</v>
      </c>
      <c r="L6" s="24" t="inlineStr">
        <is>
          <t>Cotizar (estimado)</t>
        </is>
      </c>
      <c r="M6" s="26" t="n">
        <v>7.49</v>
      </c>
      <c r="N6" s="25" t="n">
        <v>4</v>
      </c>
      <c r="O6" s="27" t="n">
        <v>0.25</v>
      </c>
      <c r="P6" s="28">
        <f>IF(J6="","",ROUNDUP(G6/K6,0)*J6*(1-IF(ISNUMBER(SEARCH("Casa Rivas",I6)),DescCasaRivas,0)))</f>
        <v/>
      </c>
      <c r="Q6" s="28">
        <f>IF(M6="","",ROUNDUP(G6/N6,0)*(M6*(1+TasaVentasEEUU)+O6*FleteLb*(1+IVA)+M6*(1+RecargoCIF)*IVA))</f>
        <v/>
      </c>
      <c r="R6" s="23">
        <f>IF(AND(ISNUMBER(P6),ISNUMBER(Q6)),IF(P6&lt;=Q6,"Local","Amazon"),IF(ISNUMBER(P6),"Local",IF(ISNUMBER(Q6),"Amazon","—")))</f>
        <v/>
      </c>
      <c r="S6" s="25" t="inlineStr">
        <is>
          <t>Amazon</t>
        </is>
      </c>
      <c r="T6" s="28">
        <f>IF(S6="Amazon",IF(ISNUMBER(Q6),Q6,0),IF(ISNUMBER(P6),P6,0))</f>
        <v/>
      </c>
      <c r="U6" s="25" t="inlineStr">
        <is>
          <t>Por comprar</t>
        </is>
      </c>
      <c r="V6" s="28">
        <f>SUMIFS('Registro de gastos'!$F$10:$F$400,'Registro de gastos'!$B$10:$B$400,A6)</f>
        <v/>
      </c>
      <c r="W6" s="28">
        <f>IF(OR(U6="Por comprar",U6="Cotizado"),MAX(T6-V6,0),0)</f>
        <v/>
      </c>
      <c r="X6" s="28">
        <f>V6+W6</f>
        <v/>
      </c>
      <c r="Y6" s="25" t="n"/>
      <c r="Z6" s="29" t="inlineStr">
        <is>
          <t>https://www.amazon.com/dp/B0D5BHVY9W</t>
        </is>
      </c>
      <c r="AA6" s="30" t="inlineStr"/>
      <c r="AB6" s="28">
        <f>IF(AND(S6="Amazon",ISNUMBER(M6),W6&gt;0),ROUNDUP(G6/N6,0)*M6,0)</f>
        <v/>
      </c>
      <c r="AC6" s="28">
        <f>IF(AND(ISNUMBER(P6),ISNUMBER(Q6)),MIN(P6,Q6),IF(ISNUMBER(P6),P6,IF(ISNUMBER(Q6),Q6,0)))</f>
        <v/>
      </c>
    </row>
    <row r="7">
      <c r="A7" s="22" t="inlineStr">
        <is>
          <t>MEC-03</t>
        </is>
      </c>
      <c r="B7" s="23" t="inlineStr">
        <is>
          <t>Estructura y eje Z</t>
        </is>
      </c>
      <c r="C7" s="24" t="inlineStr">
        <is>
          <t>Husillo T8 con tuerca de latón</t>
        </is>
      </c>
      <c r="D7" s="24" t="inlineStr">
        <is>
          <t>Tr8×8, 300 mm (avance 8 mm/rev)</t>
        </is>
      </c>
      <c r="E7" s="24" t="inlineStr">
        <is>
          <t>Eje Z</t>
        </is>
      </c>
      <c r="F7" s="23" t="inlineStr">
        <is>
          <t>HTM</t>
        </is>
      </c>
      <c r="G7" s="25" t="n">
        <v>1</v>
      </c>
      <c r="H7" s="23" t="inlineStr">
        <is>
          <t>Obligatorio</t>
        </is>
      </c>
      <c r="I7" s="24" t="inlineStr">
        <is>
          <t>Creativo 3D</t>
        </is>
      </c>
      <c r="J7" s="26" t="n">
        <v>15</v>
      </c>
      <c r="K7" s="25" t="n">
        <v>1</v>
      </c>
      <c r="L7" s="24" t="inlineStr">
        <is>
          <t>Cotizar (estimado)</t>
        </is>
      </c>
      <c r="M7" s="26" t="n">
        <v>11.99</v>
      </c>
      <c r="N7" s="25" t="n">
        <v>2</v>
      </c>
      <c r="O7" s="27" t="n">
        <v>0.6</v>
      </c>
      <c r="P7" s="28">
        <f>IF(J7="","",ROUNDUP(G7/K7,0)*J7*(1-IF(ISNUMBER(SEARCH("Casa Rivas",I7)),DescCasaRivas,0)))</f>
        <v/>
      </c>
      <c r="Q7" s="28">
        <f>IF(M7="","",ROUNDUP(G7/N7,0)*(M7*(1+TasaVentasEEUU)+O7*FleteLb*(1+IVA)+M7*(1+RecargoCIF)*IVA))</f>
        <v/>
      </c>
      <c r="R7" s="23">
        <f>IF(AND(ISNUMBER(P7),ISNUMBER(Q7)),IF(P7&lt;=Q7,"Local","Amazon"),IF(ISNUMBER(P7),"Local",IF(ISNUMBER(Q7),"Amazon","—")))</f>
        <v/>
      </c>
      <c r="S7" s="25" t="inlineStr">
        <is>
          <t>Amazon</t>
        </is>
      </c>
      <c r="T7" s="28">
        <f>IF(S7="Amazon",IF(ISNUMBER(Q7),Q7,0),IF(ISNUMBER(P7),P7,0))</f>
        <v/>
      </c>
      <c r="U7" s="25" t="inlineStr">
        <is>
          <t>Por comprar</t>
        </is>
      </c>
      <c r="V7" s="28">
        <f>SUMIFS('Registro de gastos'!$F$10:$F$400,'Registro de gastos'!$B$10:$B$400,A7)</f>
        <v/>
      </c>
      <c r="W7" s="28">
        <f>IF(OR(U7="Por comprar",U7="Cotizado"),MAX(T7-V7,0),0)</f>
        <v/>
      </c>
      <c r="X7" s="28">
        <f>V7+W7</f>
        <v/>
      </c>
      <c r="Y7" s="25" t="n"/>
      <c r="Z7" s="29" t="inlineStr">
        <is>
          <t>https://www.amazon.com/dp/B08JPPC1TZ</t>
        </is>
      </c>
      <c r="AA7" s="30" t="inlineStr">
        <is>
          <t>HTM lo corta a 380 mm para varillas de 400; con varillas de 250 mm cortar a ≈230 mm. El paquete trae 2.</t>
        </is>
      </c>
      <c r="AB7" s="28">
        <f>IF(AND(S7="Amazon",ISNUMBER(M7),W7&gt;0),ROUNDUP(G7/N7,0)*M7,0)</f>
        <v/>
      </c>
      <c r="AC7" s="28">
        <f>IF(AND(ISNUMBER(P7),ISNUMBER(Q7)),MIN(P7,Q7),IF(ISNUMBER(P7),P7,IF(ISNUMBER(Q7),Q7,0)))</f>
        <v/>
      </c>
    </row>
    <row r="8">
      <c r="A8" s="22" t="inlineStr">
        <is>
          <t>MEC-04</t>
        </is>
      </c>
      <c r="B8" s="23" t="inlineStr">
        <is>
          <t>Estructura y eje Z</t>
        </is>
      </c>
      <c r="C8" s="24" t="inlineStr">
        <is>
          <t>Acople flexible 5 → 8 mm</t>
        </is>
      </c>
      <c r="D8" s="24" t="inlineStr">
        <is>
          <t>Aluminio</t>
        </is>
      </c>
      <c r="E8" s="24" t="inlineStr">
        <is>
          <t>Motor Z → husillo</t>
        </is>
      </c>
      <c r="F8" s="23" t="inlineStr">
        <is>
          <t>HTM</t>
        </is>
      </c>
      <c r="G8" s="25" t="n">
        <v>1</v>
      </c>
      <c r="H8" s="23" t="inlineStr">
        <is>
          <t>Obligatorio</t>
        </is>
      </c>
      <c r="I8" s="24" t="inlineStr">
        <is>
          <t>Creativo 3D</t>
        </is>
      </c>
      <c r="J8" s="26" t="n">
        <v>5</v>
      </c>
      <c r="K8" s="25" t="n">
        <v>1</v>
      </c>
      <c r="L8" s="24" t="inlineStr">
        <is>
          <t>Cotizar (estimado)</t>
        </is>
      </c>
      <c r="M8" s="26" t="n">
        <v>9.99</v>
      </c>
      <c r="N8" s="25" t="n">
        <v>5</v>
      </c>
      <c r="O8" s="27" t="n">
        <v>0.25</v>
      </c>
      <c r="P8" s="28">
        <f>IF(J8="","",ROUNDUP(G8/K8,0)*J8*(1-IF(ISNUMBER(SEARCH("Casa Rivas",I8)),DescCasaRivas,0)))</f>
        <v/>
      </c>
      <c r="Q8" s="28">
        <f>IF(M8="","",ROUNDUP(G8/N8,0)*(M8*(1+TasaVentasEEUU)+O8*FleteLb*(1+IVA)+M8*(1+RecargoCIF)*IVA))</f>
        <v/>
      </c>
      <c r="R8" s="23">
        <f>IF(AND(ISNUMBER(P8),ISNUMBER(Q8)),IF(P8&lt;=Q8,"Local","Amazon"),IF(ISNUMBER(P8),"Local",IF(ISNUMBER(Q8),"Amazon","—")))</f>
        <v/>
      </c>
      <c r="S8" s="25" t="inlineStr">
        <is>
          <t>Amazon</t>
        </is>
      </c>
      <c r="T8" s="28">
        <f>IF(S8="Amazon",IF(ISNUMBER(Q8),Q8,0),IF(ISNUMBER(P8),P8,0))</f>
        <v/>
      </c>
      <c r="U8" s="25" t="inlineStr">
        <is>
          <t>Por comprar</t>
        </is>
      </c>
      <c r="V8" s="28">
        <f>SUMIFS('Registro de gastos'!$F$10:$F$400,'Registro de gastos'!$B$10:$B$400,A8)</f>
        <v/>
      </c>
      <c r="W8" s="28">
        <f>IF(OR(U8="Por comprar",U8="Cotizado"),MAX(T8-V8,0),0)</f>
        <v/>
      </c>
      <c r="X8" s="28">
        <f>V8+W8</f>
        <v/>
      </c>
      <c r="Y8" s="25" t="n"/>
      <c r="Z8" s="29" t="inlineStr">
        <is>
          <t>https://www.amazon.com/dp/B07JL1QYLS</t>
        </is>
      </c>
      <c r="AA8" s="30" t="inlineStr"/>
      <c r="AB8" s="28">
        <f>IF(AND(S8="Amazon",ISNUMBER(M8),W8&gt;0),ROUNDUP(G8/N8,0)*M8,0)</f>
        <v/>
      </c>
      <c r="AC8" s="28">
        <f>IF(AND(ISNUMBER(P8),ISNUMBER(Q8)),MIN(P8,Q8),IF(ISNUMBER(P8),P8,IF(ISNUMBER(Q8),Q8,0)))</f>
        <v/>
      </c>
    </row>
    <row r="9">
      <c r="A9" s="22" t="inlineStr">
        <is>
          <t>MEC-05</t>
        </is>
      </c>
      <c r="B9" s="23" t="inlineStr">
        <is>
          <t>Estructura y eje Z</t>
        </is>
      </c>
      <c r="C9" s="24" t="inlineStr">
        <is>
          <t>Base de madera o MDF 18–20 mm</t>
        </is>
      </c>
      <c r="D9" s="24" t="inlineStr">
        <is>
          <t>≈ 30 × 25 cm</t>
        </is>
      </c>
      <c r="E9" s="24" t="inlineStr">
        <is>
          <t>Fijar la base del robot (12 agujeros)</t>
        </is>
      </c>
      <c r="F9" s="23" t="inlineStr">
        <is>
          <t>HTM</t>
        </is>
      </c>
      <c r="G9" s="25" t="n">
        <v>1</v>
      </c>
      <c r="H9" s="23" t="inlineStr">
        <is>
          <t>Recomendado</t>
        </is>
      </c>
      <c r="I9" s="24" t="inlineStr">
        <is>
          <t>Almacenes Vidrí</t>
        </is>
      </c>
      <c r="J9" s="26" t="n">
        <v>6</v>
      </c>
      <c r="K9" s="25" t="n">
        <v>1</v>
      </c>
      <c r="L9" s="24" t="inlineStr">
        <is>
          <t>Estimado</t>
        </is>
      </c>
      <c r="M9" s="26" t="n"/>
      <c r="N9" s="25" t="n"/>
      <c r="O9" s="27" t="n"/>
      <c r="P9" s="28">
        <f>IF(J9="","",ROUNDUP(G9/K9,0)*J9*(1-IF(ISNUMBER(SEARCH("Casa Rivas",I9)),DescCasaRivas,0)))</f>
        <v/>
      </c>
      <c r="Q9" s="28">
        <f>IF(M9="","",ROUNDUP(G9/N9,0)*(M9*(1+TasaVentasEEUU)+O9*FleteLb*(1+IVA)+M9*(1+RecargoCIF)*IVA))</f>
        <v/>
      </c>
      <c r="R9" s="23">
        <f>IF(AND(ISNUMBER(P9),ISNUMBER(Q9)),IF(P9&lt;=Q9,"Local","Amazon"),IF(ISNUMBER(P9),"Local",IF(ISNUMBER(Q9),"Amazon","—")))</f>
        <v/>
      </c>
      <c r="S9" s="25" t="inlineStr">
        <is>
          <t>Local</t>
        </is>
      </c>
      <c r="T9" s="28">
        <f>IF(S9="Amazon",IF(ISNUMBER(Q9),Q9,0),IF(ISNUMBER(P9),P9,0))</f>
        <v/>
      </c>
      <c r="U9" s="25" t="inlineStr">
        <is>
          <t>Ya lo tenemos</t>
        </is>
      </c>
      <c r="V9" s="28">
        <f>SUMIFS('Registro de gastos'!$F$10:$F$400,'Registro de gastos'!$B$10:$B$400,A9)</f>
        <v/>
      </c>
      <c r="W9" s="28">
        <f>IF(OR(U9="Por comprar",U9="Cotizado"),MAX(T9-V9,0),0)</f>
        <v/>
      </c>
      <c r="X9" s="28">
        <f>V9+W9</f>
        <v/>
      </c>
      <c r="Y9" s="25" t="n"/>
      <c r="Z9" s="23" t="n"/>
      <c r="AA9" s="30" t="inlineStr">
        <is>
          <t>La consiguen sin costo. El artículo atornilla la base a madera de 20 mm y la sujeta a la mesa con prensas.</t>
        </is>
      </c>
      <c r="AB9" s="28">
        <f>IF(AND(S9="Amazon",ISNUMBER(M9),W9&gt;0),ROUNDUP(G9/N9,0)*M9,0)</f>
        <v/>
      </c>
      <c r="AC9" s="28">
        <f>IF(AND(ISNUMBER(P9),ISNUMBER(Q9)),MIN(P9,Q9),IF(ISNUMBER(P9),P9,IF(ISNUMBER(Q9),Q9,0)))</f>
        <v/>
      </c>
    </row>
    <row r="10">
      <c r="A10" s="22" t="inlineStr">
        <is>
          <t>ROD-01</t>
        </is>
      </c>
      <c r="B10" s="23" t="inlineStr">
        <is>
          <t>Rodamientos</t>
        </is>
      </c>
      <c r="C10" s="24" t="inlineStr">
        <is>
          <t>Rodamiento axial 51108</t>
        </is>
      </c>
      <c r="D10" s="24" t="inlineStr">
        <is>
          <t>40 × 60 × 13 mm</t>
        </is>
      </c>
      <c r="E10" s="24" t="inlineStr">
        <is>
          <t>J1 (uno a cada lado de la base)</t>
        </is>
      </c>
      <c r="F10" s="23" t="inlineStr">
        <is>
          <t>HTM</t>
        </is>
      </c>
      <c r="G10" s="25" t="n">
        <v>2</v>
      </c>
      <c r="H10" s="23" t="inlineStr">
        <is>
          <t>Obligatorio</t>
        </is>
      </c>
      <c r="I10" s="24" t="inlineStr">
        <is>
          <t>CEROSA / RODASA / REPSA</t>
        </is>
      </c>
      <c r="J10" s="26" t="n">
        <v>6</v>
      </c>
      <c r="K10" s="25" t="n">
        <v>1</v>
      </c>
      <c r="L10" s="24" t="inlineStr">
        <is>
          <t>Cotizar (estimado)</t>
        </is>
      </c>
      <c r="M10" s="26" t="n">
        <v>9.99</v>
      </c>
      <c r="N10" s="25" t="n">
        <v>2</v>
      </c>
      <c r="O10" s="27" t="n">
        <v>0.45</v>
      </c>
      <c r="P10" s="28">
        <f>IF(J10="","",ROUNDUP(G10/K10,0)*J10*(1-IF(ISNUMBER(SEARCH("Casa Rivas",I10)),DescCasaRivas,0)))</f>
        <v/>
      </c>
      <c r="Q10" s="28">
        <f>IF(M10="","",ROUNDUP(G10/N10,0)*(M10*(1+TasaVentasEEUU)+O10*FleteLb*(1+IVA)+M10*(1+RecargoCIF)*IVA))</f>
        <v/>
      </c>
      <c r="R10" s="23">
        <f>IF(AND(ISNUMBER(P10),ISNUMBER(Q10)),IF(P10&lt;=Q10,"Local","Amazon"),IF(ISNUMBER(P10),"Local",IF(ISNUMBER(Q10),"Amazon","—")))</f>
        <v/>
      </c>
      <c r="S10" s="25" t="inlineStr">
        <is>
          <t>Amazon</t>
        </is>
      </c>
      <c r="T10" s="28">
        <f>IF(S10="Amazon",IF(ISNUMBER(Q10),Q10,0),IF(ISNUMBER(P10),P10,0))</f>
        <v/>
      </c>
      <c r="U10" s="25" t="inlineStr">
        <is>
          <t>Por comprar</t>
        </is>
      </c>
      <c r="V10" s="28">
        <f>SUMIFS('Registro de gastos'!$F$10:$F$400,'Registro de gastos'!$B$10:$B$400,A10)</f>
        <v/>
      </c>
      <c r="W10" s="28">
        <f>IF(OR(U10="Por comprar",U10="Cotizado"),MAX(T10-V10,0),0)</f>
        <v/>
      </c>
      <c r="X10" s="28">
        <f>V10+W10</f>
        <v/>
      </c>
      <c r="Y10" s="25" t="n"/>
      <c r="Z10" s="29" t="inlineStr">
        <is>
          <t>https://www.amazon.com/dp/B0FDKPGXQ4</t>
        </is>
      </c>
      <c r="AA10" s="30" t="inlineStr">
        <is>
          <t>La lista del artículo dice 1, pero el ensamble usa 2.</t>
        </is>
      </c>
      <c r="AB10" s="28">
        <f>IF(AND(S10="Amazon",ISNUMBER(M10),W10&gt;0),ROUNDUP(G10/N10,0)*M10,0)</f>
        <v/>
      </c>
      <c r="AC10" s="28">
        <f>IF(AND(ISNUMBER(P10),ISNUMBER(Q10)),MIN(P10,Q10),IF(ISNUMBER(P10),P10,IF(ISNUMBER(Q10),Q10,0)))</f>
        <v/>
      </c>
    </row>
    <row r="11">
      <c r="A11" s="22" t="inlineStr">
        <is>
          <t>ROD-02</t>
        </is>
      </c>
      <c r="B11" s="23" t="inlineStr">
        <is>
          <t>Rodamientos</t>
        </is>
      </c>
      <c r="C11" s="24" t="inlineStr">
        <is>
          <t>Rodamiento axial 51107</t>
        </is>
      </c>
      <c r="D11" s="24" t="inlineStr">
        <is>
          <t>35 × 52 × 12 mm</t>
        </is>
      </c>
      <c r="E11" s="24" t="inlineStr">
        <is>
          <t>J2 y J3 (2 por junta)</t>
        </is>
      </c>
      <c r="F11" s="23" t="inlineStr">
        <is>
          <t>HTM</t>
        </is>
      </c>
      <c r="G11" s="25" t="n">
        <v>4</v>
      </c>
      <c r="H11" s="23" t="inlineStr">
        <is>
          <t>Obligatorio</t>
        </is>
      </c>
      <c r="I11" s="24" t="inlineStr">
        <is>
          <t>CEROSA / RODASA / REPSA</t>
        </is>
      </c>
      <c r="J11" s="26" t="n">
        <v>5</v>
      </c>
      <c r="K11" s="25" t="n">
        <v>1</v>
      </c>
      <c r="L11" s="24" t="inlineStr">
        <is>
          <t>Cotizar (estimado)</t>
        </is>
      </c>
      <c r="M11" s="26" t="n">
        <v>10.99</v>
      </c>
      <c r="N11" s="25" t="n">
        <v>3</v>
      </c>
      <c r="O11" s="27" t="n">
        <v>0.45</v>
      </c>
      <c r="P11" s="28">
        <f>IF(J11="","",ROUNDUP(G11/K11,0)*J11*(1-IF(ISNUMBER(SEARCH("Casa Rivas",I11)),DescCasaRivas,0)))</f>
        <v/>
      </c>
      <c r="Q11" s="28">
        <f>IF(M11="","",ROUNDUP(G11/N11,0)*(M11*(1+TasaVentasEEUU)+O11*FleteLb*(1+IVA)+M11*(1+RecargoCIF)*IVA))</f>
        <v/>
      </c>
      <c r="R11" s="23">
        <f>IF(AND(ISNUMBER(P11),ISNUMBER(Q11)),IF(P11&lt;=Q11,"Local","Amazon"),IF(ISNUMBER(P11),"Local",IF(ISNUMBER(Q11),"Amazon","—")))</f>
        <v/>
      </c>
      <c r="S11" s="25" t="inlineStr">
        <is>
          <t>Amazon</t>
        </is>
      </c>
      <c r="T11" s="28">
        <f>IF(S11="Amazon",IF(ISNUMBER(Q11),Q11,0),IF(ISNUMBER(P11),P11,0))</f>
        <v/>
      </c>
      <c r="U11" s="25" t="inlineStr">
        <is>
          <t>Por comprar</t>
        </is>
      </c>
      <c r="V11" s="28">
        <f>SUMIFS('Registro de gastos'!$F$10:$F$400,'Registro de gastos'!$B$10:$B$400,A11)</f>
        <v/>
      </c>
      <c r="W11" s="28">
        <f>IF(OR(U11="Por comprar",U11="Cotizado"),MAX(T11-V11,0),0)</f>
        <v/>
      </c>
      <c r="X11" s="28">
        <f>V11+W11</f>
        <v/>
      </c>
      <c r="Y11" s="25" t="n"/>
      <c r="Z11" s="29" t="inlineStr">
        <is>
          <t>https://www.amazon.com/s?k=51107+thrust+ball+bearing</t>
        </is>
      </c>
      <c r="AA11" s="30" t="inlineStr">
        <is>
          <t>La lista del artículo pide 2 (solo J2); J3 usa el mismo esquema. Paquete de 3 en Amazon.</t>
        </is>
      </c>
      <c r="AB11" s="28">
        <f>IF(AND(S11="Amazon",ISNUMBER(M11),W11&gt;0),ROUNDUP(G11/N11,0)*M11,0)</f>
        <v/>
      </c>
      <c r="AC11" s="28">
        <f>IF(AND(ISNUMBER(P11),ISNUMBER(Q11)),MIN(P11,Q11),IF(ISNUMBER(P11),P11,IF(ISNUMBER(Q11),Q11,0)))</f>
        <v/>
      </c>
    </row>
    <row r="12">
      <c r="A12" s="22" t="inlineStr">
        <is>
          <t>ROD-03</t>
        </is>
      </c>
      <c r="B12" s="23" t="inlineStr">
        <is>
          <t>Rodamientos</t>
        </is>
      </c>
      <c r="C12" s="24" t="inlineStr">
        <is>
          <t>Rodamiento radial 6807-2RS</t>
        </is>
      </c>
      <c r="D12" s="24" t="inlineStr">
        <is>
          <t>35 × 47 × 7 mm (pared delgada)</t>
        </is>
      </c>
      <c r="E12" s="24" t="inlineStr">
        <is>
          <t>J1</t>
        </is>
      </c>
      <c r="F12" s="23" t="inlineStr">
        <is>
          <t>HTM</t>
        </is>
      </c>
      <c r="G12" s="25" t="n">
        <v>1</v>
      </c>
      <c r="H12" s="23" t="inlineStr">
        <is>
          <t>Obligatorio</t>
        </is>
      </c>
      <c r="I12" s="24" t="inlineStr">
        <is>
          <t>CEROSA / RODASA / REPSA</t>
        </is>
      </c>
      <c r="J12" s="26" t="n">
        <v>5</v>
      </c>
      <c r="K12" s="25" t="n">
        <v>1</v>
      </c>
      <c r="L12" s="24" t="inlineStr">
        <is>
          <t>Cotizar (estimado)</t>
        </is>
      </c>
      <c r="M12" s="26" t="n">
        <v>7.29</v>
      </c>
      <c r="N12" s="25" t="n">
        <v>1</v>
      </c>
      <c r="O12" s="27" t="n">
        <v>0.1</v>
      </c>
      <c r="P12" s="28">
        <f>IF(J12="","",ROUNDUP(G12/K12,0)*J12*(1-IF(ISNUMBER(SEARCH("Casa Rivas",I12)),DescCasaRivas,0)))</f>
        <v/>
      </c>
      <c r="Q12" s="28">
        <f>IF(M12="","",ROUNDUP(G12/N12,0)*(M12*(1+TasaVentasEEUU)+O12*FleteLb*(1+IVA)+M12*(1+RecargoCIF)*IVA))</f>
        <v/>
      </c>
      <c r="R12" s="23">
        <f>IF(AND(ISNUMBER(P12),ISNUMBER(Q12)),IF(P12&lt;=Q12,"Local","Amazon"),IF(ISNUMBER(P12),"Local",IF(ISNUMBER(Q12),"Amazon","—")))</f>
        <v/>
      </c>
      <c r="S12" s="25" t="inlineStr">
        <is>
          <t>Local</t>
        </is>
      </c>
      <c r="T12" s="28">
        <f>IF(S12="Amazon",IF(ISNUMBER(Q12),Q12,0),IF(ISNUMBER(P12),P12,0))</f>
        <v/>
      </c>
      <c r="U12" s="25" t="inlineStr">
        <is>
          <t>Por comprar</t>
        </is>
      </c>
      <c r="V12" s="28">
        <f>SUMIFS('Registro de gastos'!$F$10:$F$400,'Registro de gastos'!$B$10:$B$400,A12)</f>
        <v/>
      </c>
      <c r="W12" s="28">
        <f>IF(OR(U12="Por comprar",U12="Cotizado"),MAX(T12-V12,0),0)</f>
        <v/>
      </c>
      <c r="X12" s="28">
        <f>V12+W12</f>
        <v/>
      </c>
      <c r="Y12" s="25" t="n"/>
      <c r="Z12" s="29" t="inlineStr">
        <is>
          <t>https://www.amazon.com/dp/B07RP6RDYL</t>
        </is>
      </c>
      <c r="AA12" s="30" t="inlineStr">
        <is>
          <t>No aparece en la lista del artículo, pero el texto lo instala primero en la base.</t>
        </is>
      </c>
      <c r="AB12" s="28">
        <f>IF(AND(S12="Amazon",ISNUMBER(M12),W12&gt;0),ROUNDUP(G12/N12,0)*M12,0)</f>
        <v/>
      </c>
      <c r="AC12" s="28">
        <f>IF(AND(ISNUMBER(P12),ISNUMBER(Q12)),MIN(P12,Q12),IF(ISNUMBER(P12),P12,IF(ISNUMBER(Q12),Q12,0)))</f>
        <v/>
      </c>
    </row>
    <row r="13">
      <c r="A13" s="22" t="inlineStr">
        <is>
          <t>ROD-04</t>
        </is>
      </c>
      <c r="B13" s="23" t="inlineStr">
        <is>
          <t>Rodamientos</t>
        </is>
      </c>
      <c r="C13" s="24" t="inlineStr">
        <is>
          <t>Rodamiento radial 6806-2RS (61806)</t>
        </is>
      </c>
      <c r="D13" s="24" t="inlineStr">
        <is>
          <t>30 × 42 × 7 mm (pared delgada)</t>
        </is>
      </c>
      <c r="E13" s="24" t="inlineStr">
        <is>
          <t>J2 y J3</t>
        </is>
      </c>
      <c r="F13" s="23" t="inlineStr">
        <is>
          <t>HTM</t>
        </is>
      </c>
      <c r="G13" s="25" t="n">
        <v>2</v>
      </c>
      <c r="H13" s="23" t="inlineStr">
        <is>
          <t>Obligatorio</t>
        </is>
      </c>
      <c r="I13" s="24" t="inlineStr">
        <is>
          <t>CEROSA / RODASA / REPSA</t>
        </is>
      </c>
      <c r="J13" s="26" t="n">
        <v>4.5</v>
      </c>
      <c r="K13" s="25" t="n">
        <v>1</v>
      </c>
      <c r="L13" s="24" t="inlineStr">
        <is>
          <t>Cotizar (estimado)</t>
        </is>
      </c>
      <c r="M13" s="26" t="n">
        <v>13.99</v>
      </c>
      <c r="N13" s="25" t="n">
        <v>10</v>
      </c>
      <c r="O13" s="27" t="n">
        <v>0.5</v>
      </c>
      <c r="P13" s="28">
        <f>IF(J13="","",ROUNDUP(G13/K13,0)*J13*(1-IF(ISNUMBER(SEARCH("Casa Rivas",I13)),DescCasaRivas,0)))</f>
        <v/>
      </c>
      <c r="Q13" s="28">
        <f>IF(M13="","",ROUNDUP(G13/N13,0)*(M13*(1+TasaVentasEEUU)+O13*FleteLb*(1+IVA)+M13*(1+RecargoCIF)*IVA))</f>
        <v/>
      </c>
      <c r="R13" s="23">
        <f>IF(AND(ISNUMBER(P13),ISNUMBER(Q13)),IF(P13&lt;=Q13,"Local","Amazon"),IF(ISNUMBER(P13),"Local",IF(ISNUMBER(Q13),"Amazon","—")))</f>
        <v/>
      </c>
      <c r="S13" s="25" t="inlineStr">
        <is>
          <t>Local</t>
        </is>
      </c>
      <c r="T13" s="28">
        <f>IF(S13="Amazon",IF(ISNUMBER(Q13),Q13,0),IF(ISNUMBER(P13),P13,0))</f>
        <v/>
      </c>
      <c r="U13" s="25" t="inlineStr">
        <is>
          <t>Por comprar</t>
        </is>
      </c>
      <c r="V13" s="28">
        <f>SUMIFS('Registro de gastos'!$F$10:$F$400,'Registro de gastos'!$B$10:$B$400,A13)</f>
        <v/>
      </c>
      <c r="W13" s="28">
        <f>IF(OR(U13="Por comprar",U13="Cotizado"),MAX(T13-V13,0),0)</f>
        <v/>
      </c>
      <c r="X13" s="28">
        <f>V13+W13</f>
        <v/>
      </c>
      <c r="Y13" s="25" t="n"/>
      <c r="Z13" s="29" t="inlineStr">
        <is>
          <t>https://www.amazon.com/dp/B09D33QXFL</t>
        </is>
      </c>
      <c r="AA13" s="30" t="inlineStr">
        <is>
          <t>Amazon solo lo vende en paquete de 10.</t>
        </is>
      </c>
      <c r="AB13" s="28">
        <f>IF(AND(S13="Amazon",ISNUMBER(M13),W13&gt;0),ROUNDUP(G13/N13,0)*M13,0)</f>
        <v/>
      </c>
      <c r="AC13" s="28">
        <f>IF(AND(ISNUMBER(P13),ISNUMBER(Q13)),MIN(P13,Q13),IF(ISNUMBER(P13),P13,IF(ISNUMBER(Q13),Q13,0)))</f>
        <v/>
      </c>
    </row>
    <row r="14">
      <c r="A14" s="22" t="inlineStr">
        <is>
          <t>ROD-05</t>
        </is>
      </c>
      <c r="B14" s="23" t="inlineStr">
        <is>
          <t>Rodamientos</t>
        </is>
      </c>
      <c r="C14" s="24" t="inlineStr">
        <is>
          <t>Rodamiento 608ZZ</t>
        </is>
      </c>
      <c r="D14" s="24" t="inlineStr">
        <is>
          <t>8 × 22 × 7 mm</t>
        </is>
      </c>
      <c r="E14" s="24" t="inlineStr">
        <is>
          <t>Poleas intermedias de J1 y J2 (2 c/u) + husillo</t>
        </is>
      </c>
      <c r="F14" s="23" t="inlineStr">
        <is>
          <t>HTM</t>
        </is>
      </c>
      <c r="G14" s="25" t="n">
        <v>5</v>
      </c>
      <c r="H14" s="23" t="inlineStr">
        <is>
          <t>Obligatorio</t>
        </is>
      </c>
      <c r="I14" s="24" t="inlineStr">
        <is>
          <t>CEROSA / REPSA</t>
        </is>
      </c>
      <c r="J14" s="26" t="n">
        <v>1.25</v>
      </c>
      <c r="K14" s="25" t="n">
        <v>1</v>
      </c>
      <c r="L14" s="24" t="inlineStr">
        <is>
          <t>Estimado (hay en el país)</t>
        </is>
      </c>
      <c r="M14" s="26" t="n">
        <v>5.19</v>
      </c>
      <c r="N14" s="25" t="n">
        <v>10</v>
      </c>
      <c r="O14" s="27" t="n">
        <v>0.35</v>
      </c>
      <c r="P14" s="28">
        <f>IF(J14="","",ROUNDUP(G14/K14,0)*J14*(1-IF(ISNUMBER(SEARCH("Casa Rivas",I14)),DescCasaRivas,0)))</f>
        <v/>
      </c>
      <c r="Q14" s="28">
        <f>IF(M14="","",ROUNDUP(G14/N14,0)*(M14*(1+TasaVentasEEUU)+O14*FleteLb*(1+IVA)+M14*(1+RecargoCIF)*IVA))</f>
        <v/>
      </c>
      <c r="R14" s="23">
        <f>IF(AND(ISNUMBER(P14),ISNUMBER(Q14)),IF(P14&lt;=Q14,"Local","Amazon"),IF(ISNUMBER(P14),"Local",IF(ISNUMBER(Q14),"Amazon","—")))</f>
        <v/>
      </c>
      <c r="S14" s="25" t="inlineStr">
        <is>
          <t>Local</t>
        </is>
      </c>
      <c r="T14" s="28">
        <f>IF(S14="Amazon",IF(ISNUMBER(Q14),Q14,0),IF(ISNUMBER(P14),P14,0))</f>
        <v/>
      </c>
      <c r="U14" s="25" t="inlineStr">
        <is>
          <t>Por comprar</t>
        </is>
      </c>
      <c r="V14" s="28">
        <f>SUMIFS('Registro de gastos'!$F$10:$F$400,'Registro de gastos'!$B$10:$B$400,A14)</f>
        <v/>
      </c>
      <c r="W14" s="28">
        <f>IF(OR(U14="Por comprar",U14="Cotizado"),MAX(T14-V14,0),0)</f>
        <v/>
      </c>
      <c r="X14" s="28">
        <f>V14+W14</f>
        <v/>
      </c>
      <c r="Y14" s="25" t="n"/>
      <c r="Z14" s="29" t="inlineStr">
        <is>
          <t>https://www.amazon.com/dp/B0GYVYQKQ4</t>
        </is>
      </c>
      <c r="AA14" s="30" t="inlineStr"/>
      <c r="AB14" s="28">
        <f>IF(AND(S14="Amazon",ISNUMBER(M14),W14&gt;0),ROUNDUP(G14/N14,0)*M14,0)</f>
        <v/>
      </c>
      <c r="AC14" s="28">
        <f>IF(AND(ISNUMBER(P14),ISNUMBER(Q14)),MIN(P14,Q14),IF(ISNUMBER(P14),P14,IF(ISNUMBER(Q14),Q14,0)))</f>
        <v/>
      </c>
    </row>
    <row r="15">
      <c r="A15" s="22" t="inlineStr">
        <is>
          <t>TRA-01</t>
        </is>
      </c>
      <c r="B15" s="23" t="inlineStr">
        <is>
          <t>Transmisión</t>
        </is>
      </c>
      <c r="C15" s="24" t="inlineStr">
        <is>
          <t>Correa GT2 cerrada 200 mm</t>
        </is>
      </c>
      <c r="D15" s="24" t="inlineStr">
        <is>
          <t>Ancho 6 mm, paso 2 mm</t>
        </is>
      </c>
      <c r="E15" s="24" t="inlineStr">
        <is>
          <t>J1 etapa 1 (motor → 80 dientes)</t>
        </is>
      </c>
      <c r="F15" s="23" t="inlineStr">
        <is>
          <t>HTM</t>
        </is>
      </c>
      <c r="G15" s="25" t="n">
        <v>1</v>
      </c>
      <c r="H15" s="23" t="inlineStr">
        <is>
          <t>Obligatorio</t>
        </is>
      </c>
      <c r="I15" s="24" t="inlineStr">
        <is>
          <t>Creativo 3D</t>
        </is>
      </c>
      <c r="J15" s="26" t="n">
        <v>4</v>
      </c>
      <c r="K15" s="25" t="n">
        <v>1</v>
      </c>
      <c r="L15" s="24" t="inlineStr">
        <is>
          <t>Cotizar (estimado)</t>
        </is>
      </c>
      <c r="M15" s="26" t="n">
        <v>6.92</v>
      </c>
      <c r="N15" s="25" t="n">
        <v>5</v>
      </c>
      <c r="O15" s="27" t="n">
        <v>0.1</v>
      </c>
      <c r="P15" s="28">
        <f>IF(J15="","",ROUNDUP(G15/K15,0)*J15*(1-IF(ISNUMBER(SEARCH("Casa Rivas",I15)),DescCasaRivas,0)))</f>
        <v/>
      </c>
      <c r="Q15" s="28">
        <f>IF(M15="","",ROUNDUP(G15/N15,0)*(M15*(1+TasaVentasEEUU)+O15*FleteLb*(1+IVA)+M15*(1+RecargoCIF)*IVA))</f>
        <v/>
      </c>
      <c r="R15" s="23">
        <f>IF(AND(ISNUMBER(P15),ISNUMBER(Q15)),IF(P15&lt;=Q15,"Local","Amazon"),IF(ISNUMBER(P15),"Local",IF(ISNUMBER(Q15),"Amazon","—")))</f>
        <v/>
      </c>
      <c r="S15" s="25" t="inlineStr">
        <is>
          <t>Amazon</t>
        </is>
      </c>
      <c r="T15" s="28">
        <f>IF(S15="Amazon",IF(ISNUMBER(Q15),Q15,0),IF(ISNUMBER(P15),P15,0))</f>
        <v/>
      </c>
      <c r="U15" s="25" t="inlineStr">
        <is>
          <t>Por comprar</t>
        </is>
      </c>
      <c r="V15" s="28">
        <f>SUMIFS('Registro de gastos'!$F$10:$F$400,'Registro de gastos'!$B$10:$B$400,A15)</f>
        <v/>
      </c>
      <c r="W15" s="28">
        <f>IF(OR(U15="Por comprar",U15="Cotizado"),MAX(T15-V15,0),0)</f>
        <v/>
      </c>
      <c r="X15" s="28">
        <f>V15+W15</f>
        <v/>
      </c>
      <c r="Y15" s="25" t="n"/>
      <c r="Z15" s="29" t="inlineStr">
        <is>
          <t>https://www.amazon.com/dp/B0FRDL4X1Z</t>
        </is>
      </c>
      <c r="AA15" s="30" t="inlineStr"/>
      <c r="AB15" s="28">
        <f>IF(AND(S15="Amazon",ISNUMBER(M15),W15&gt;0),ROUNDUP(G15/N15,0)*M15,0)</f>
        <v/>
      </c>
      <c r="AC15" s="28">
        <f>IF(AND(ISNUMBER(P15),ISNUMBER(Q15)),MIN(P15,Q15),IF(ISNUMBER(P15),P15,IF(ISNUMBER(Q15),Q15,0)))</f>
        <v/>
      </c>
    </row>
    <row r="16">
      <c r="A16" s="22" t="inlineStr">
        <is>
          <t>TRA-02</t>
        </is>
      </c>
      <c r="B16" s="23" t="inlineStr">
        <is>
          <t>Transmisión</t>
        </is>
      </c>
      <c r="C16" s="24" t="inlineStr">
        <is>
          <t>Correa GT2 cerrada 300 mm</t>
        </is>
      </c>
      <c r="D16" s="24" t="inlineStr">
        <is>
          <t>Ancho 6 mm, paso 2 mm</t>
        </is>
      </c>
      <c r="E16" s="24" t="inlineStr">
        <is>
          <t>J1 etapa 2 y J2 etapa 2</t>
        </is>
      </c>
      <c r="F16" s="23" t="inlineStr">
        <is>
          <t>HTM</t>
        </is>
      </c>
      <c r="G16" s="25" t="n">
        <v>2</v>
      </c>
      <c r="H16" s="23" t="inlineStr">
        <is>
          <t>Obligatorio</t>
        </is>
      </c>
      <c r="I16" s="24" t="inlineStr">
        <is>
          <t>Creativo 3D</t>
        </is>
      </c>
      <c r="J16" s="26" t="n">
        <v>4</v>
      </c>
      <c r="K16" s="25" t="n">
        <v>1</v>
      </c>
      <c r="L16" s="24" t="inlineStr">
        <is>
          <t>Cotizar (estimado)</t>
        </is>
      </c>
      <c r="M16" s="26" t="n">
        <v>8.789999999999999</v>
      </c>
      <c r="N16" s="25" t="n">
        <v>4</v>
      </c>
      <c r="O16" s="27" t="n">
        <v>0.1</v>
      </c>
      <c r="P16" s="28">
        <f>IF(J16="","",ROUNDUP(G16/K16,0)*J16*(1-IF(ISNUMBER(SEARCH("Casa Rivas",I16)),DescCasaRivas,0)))</f>
        <v/>
      </c>
      <c r="Q16" s="28">
        <f>IF(M16="","",ROUNDUP(G16/N16,0)*(M16*(1+TasaVentasEEUU)+O16*FleteLb*(1+IVA)+M16*(1+RecargoCIF)*IVA))</f>
        <v/>
      </c>
      <c r="R16" s="23">
        <f>IF(AND(ISNUMBER(P16),ISNUMBER(Q16)),IF(P16&lt;=Q16,"Local","Amazon"),IF(ISNUMBER(P16),"Local",IF(ISNUMBER(Q16),"Amazon","—")))</f>
        <v/>
      </c>
      <c r="S16" s="25" t="inlineStr">
        <is>
          <t>Amazon</t>
        </is>
      </c>
      <c r="T16" s="28">
        <f>IF(S16="Amazon",IF(ISNUMBER(Q16),Q16,0),IF(ISNUMBER(P16),P16,0))</f>
        <v/>
      </c>
      <c r="U16" s="25" t="inlineStr">
        <is>
          <t>Por comprar</t>
        </is>
      </c>
      <c r="V16" s="28">
        <f>SUMIFS('Registro de gastos'!$F$10:$F$400,'Registro de gastos'!$B$10:$B$400,A16)</f>
        <v/>
      </c>
      <c r="W16" s="28">
        <f>IF(OR(U16="Por comprar",U16="Cotizado"),MAX(T16-V16,0),0)</f>
        <v/>
      </c>
      <c r="X16" s="28">
        <f>V16+W16</f>
        <v/>
      </c>
      <c r="Y16" s="25" t="n"/>
      <c r="Z16" s="29" t="inlineStr">
        <is>
          <t>https://www.amazon.com/dp/B0CN41SWMZ</t>
        </is>
      </c>
      <c r="AA16" s="30" t="inlineStr"/>
      <c r="AB16" s="28">
        <f>IF(AND(S16="Amazon",ISNUMBER(M16),W16&gt;0),ROUNDUP(G16/N16,0)*M16,0)</f>
        <v/>
      </c>
      <c r="AC16" s="28">
        <f>IF(AND(ISNUMBER(P16),ISNUMBER(Q16)),MIN(P16,Q16),IF(ISNUMBER(P16),P16,IF(ISNUMBER(Q16),Q16,0)))</f>
        <v/>
      </c>
    </row>
    <row r="17">
      <c r="A17" s="22" t="inlineStr">
        <is>
          <t>TRA-03</t>
        </is>
      </c>
      <c r="B17" s="23" t="inlineStr">
        <is>
          <t>Transmisión</t>
        </is>
      </c>
      <c r="C17" s="24" t="inlineStr">
        <is>
          <t>Correa GT2 cerrada 400 mm</t>
        </is>
      </c>
      <c r="D17" s="24" t="inlineStr">
        <is>
          <t>Ancho 6 mm, paso 2 mm</t>
        </is>
      </c>
      <c r="E17" s="24" t="inlineStr">
        <is>
          <t>J2 etapa 1 y J3</t>
        </is>
      </c>
      <c r="F17" s="23" t="inlineStr">
        <is>
          <t>HTM</t>
        </is>
      </c>
      <c r="G17" s="25" t="n">
        <v>2</v>
      </c>
      <c r="H17" s="23" t="inlineStr">
        <is>
          <t>Obligatorio</t>
        </is>
      </c>
      <c r="I17" s="24" t="inlineStr">
        <is>
          <t>Creativo 3D</t>
        </is>
      </c>
      <c r="J17" s="26" t="n">
        <v>4.5</v>
      </c>
      <c r="K17" s="25" t="n">
        <v>1</v>
      </c>
      <c r="L17" s="24" t="inlineStr">
        <is>
          <t>Cotizar (estimado)</t>
        </is>
      </c>
      <c r="M17" s="26" t="n">
        <v>9.210000000000001</v>
      </c>
      <c r="N17" s="25" t="n">
        <v>5</v>
      </c>
      <c r="O17" s="27" t="n">
        <v>0.1</v>
      </c>
      <c r="P17" s="28">
        <f>IF(J17="","",ROUNDUP(G17/K17,0)*J17*(1-IF(ISNUMBER(SEARCH("Casa Rivas",I17)),DescCasaRivas,0)))</f>
        <v/>
      </c>
      <c r="Q17" s="28">
        <f>IF(M17="","",ROUNDUP(G17/N17,0)*(M17*(1+TasaVentasEEUU)+O17*FleteLb*(1+IVA)+M17*(1+RecargoCIF)*IVA))</f>
        <v/>
      </c>
      <c r="R17" s="23">
        <f>IF(AND(ISNUMBER(P17),ISNUMBER(Q17)),IF(P17&lt;=Q17,"Local","Amazon"),IF(ISNUMBER(P17),"Local",IF(ISNUMBER(Q17),"Amazon","—")))</f>
        <v/>
      </c>
      <c r="S17" s="25" t="inlineStr">
        <is>
          <t>Amazon</t>
        </is>
      </c>
      <c r="T17" s="28">
        <f>IF(S17="Amazon",IF(ISNUMBER(Q17),Q17,0),IF(ISNUMBER(P17),P17,0))</f>
        <v/>
      </c>
      <c r="U17" s="25" t="inlineStr">
        <is>
          <t>Por comprar</t>
        </is>
      </c>
      <c r="V17" s="28">
        <f>SUMIFS('Registro de gastos'!$F$10:$F$400,'Registro de gastos'!$B$10:$B$400,A17)</f>
        <v/>
      </c>
      <c r="W17" s="28">
        <f>IF(OR(U17="Por comprar",U17="Cotizado"),MAX(T17-V17,0),0)</f>
        <v/>
      </c>
      <c r="X17" s="28">
        <f>V17+W17</f>
        <v/>
      </c>
      <c r="Y17" s="25" t="n"/>
      <c r="Z17" s="29" t="inlineStr">
        <is>
          <t>https://www.amazon.com/dp/B0FRD6MX8J</t>
        </is>
      </c>
      <c r="AA17" s="30" t="inlineStr">
        <is>
          <t>Las poleas GT2 (110, 92, 90, 22-80, 23-80 y 20 dientes) se imprimen: ver hoja Impresión 3D.</t>
        </is>
      </c>
      <c r="AB17" s="28">
        <f>IF(AND(S17="Amazon",ISNUMBER(M17),W17&gt;0),ROUNDUP(G17/N17,0)*M17,0)</f>
        <v/>
      </c>
      <c r="AC17" s="28">
        <f>IF(AND(ISNUMBER(P17),ISNUMBER(Q17)),MIN(P17,Q17),IF(ISNUMBER(P17),P17,IF(ISNUMBER(Q17),Q17,0)))</f>
        <v/>
      </c>
    </row>
    <row r="18">
      <c r="A18" s="22" t="inlineStr">
        <is>
          <t>ELE-01</t>
        </is>
      </c>
      <c r="B18" s="23" t="inlineStr">
        <is>
          <t>Motores y electrónica</t>
        </is>
      </c>
      <c r="C18" s="24" t="inlineStr">
        <is>
          <t>Motor paso a paso NEMA 17, 40 mm</t>
        </is>
      </c>
      <c r="D18" s="24" t="inlineStr">
        <is>
          <t>45 N·cm, 2 A, 1.8°, 4 cables (17HS4401)</t>
        </is>
      </c>
      <c r="E18" s="24" t="inlineStr">
        <is>
          <t>J1, J2 y Z</t>
        </is>
      </c>
      <c r="F18" s="23" t="inlineStr">
        <is>
          <t>HTM</t>
        </is>
      </c>
      <c r="G18" s="25" t="n">
        <v>3</v>
      </c>
      <c r="H18" s="23" t="inlineStr">
        <is>
          <t>Obligatorio</t>
        </is>
      </c>
      <c r="I18" s="24" t="inlineStr">
        <is>
          <t>Electrónica 2001 (código 04-355)</t>
        </is>
      </c>
      <c r="J18" s="26" t="n">
        <v>12</v>
      </c>
      <c r="K18" s="25" t="n">
        <v>1</v>
      </c>
      <c r="L18" s="24" t="inlineStr">
        <is>
          <t>Verificado en línea 06-oct-2026</t>
        </is>
      </c>
      <c r="M18" s="26" t="n">
        <v>13.99</v>
      </c>
      <c r="N18" s="25" t="n">
        <v>1</v>
      </c>
      <c r="O18" s="27" t="n">
        <v>0.75</v>
      </c>
      <c r="P18" s="28">
        <f>IF(J18="","",ROUNDUP(G18/K18,0)*J18*(1-IF(ISNUMBER(SEARCH("Casa Rivas",I18)),DescCasaRivas,0)))</f>
        <v/>
      </c>
      <c r="Q18" s="28">
        <f>IF(M18="","",ROUNDUP(G18/N18,0)*(M18*(1+TasaVentasEEUU)+O18*FleteLb*(1+IVA)+M18*(1+RecargoCIF)*IVA))</f>
        <v/>
      </c>
      <c r="R18" s="23">
        <f>IF(AND(ISNUMBER(P18),ISNUMBER(Q18)),IF(P18&lt;=Q18,"Local","Amazon"),IF(ISNUMBER(P18),"Local",IF(ISNUMBER(Q18),"Amazon","—")))</f>
        <v/>
      </c>
      <c r="S18" s="25" t="inlineStr">
        <is>
          <t>Local</t>
        </is>
      </c>
      <c r="T18" s="28">
        <f>IF(S18="Amazon",IF(ISNUMBER(Q18),Q18,0),IF(ISNUMBER(P18),P18,0))</f>
        <v/>
      </c>
      <c r="U18" s="25" t="inlineStr">
        <is>
          <t>Ya lo tenemos</t>
        </is>
      </c>
      <c r="V18" s="28">
        <f>SUMIFS('Registro de gastos'!$F$10:$F$400,'Registro de gastos'!$B$10:$B$400,A18)</f>
        <v/>
      </c>
      <c r="W18" s="28">
        <f>IF(OR(U18="Por comprar",U18="Cotizado"),MAX(T18-V18,0),0)</f>
        <v/>
      </c>
      <c r="X18" s="28">
        <f>V18+W18</f>
        <v/>
      </c>
      <c r="Y18" s="25" t="n"/>
      <c r="Z18" s="29" t="inlineStr">
        <is>
          <t>https://www.amazon.com/dp/B00PNEQI7W</t>
        </is>
      </c>
      <c r="AA18" s="30" t="inlineStr">
        <is>
          <t>Prestados. Si usan el NEMA corto también en J2 (varillas de 240 mm), bajar a 2 y subir ELE-02 a 2. Confirmar que trae cable.</t>
        </is>
      </c>
      <c r="AB18" s="28">
        <f>IF(AND(S18="Amazon",ISNUMBER(M18),W18&gt;0),ROUNDUP(G18/N18,0)*M18,0)</f>
        <v/>
      </c>
      <c r="AC18" s="28">
        <f>IF(AND(ISNUMBER(P18),ISNUMBER(Q18)),MIN(P18,Q18),IF(ISNUMBER(P18),P18,IF(ISNUMBER(Q18),Q18,0)))</f>
        <v/>
      </c>
    </row>
    <row r="19">
      <c r="A19" s="22" t="inlineStr">
        <is>
          <t>ELE-02</t>
        </is>
      </c>
      <c r="B19" s="23" t="inlineStr">
        <is>
          <t>Motores y electrónica</t>
        </is>
      </c>
      <c r="C19" s="24" t="inlineStr">
        <is>
          <t>Motor NEMA 17 corto (pancake)</t>
        </is>
      </c>
      <c r="D19" s="24" t="inlineStr">
        <is>
          <t>≈ 23 mm, 17 N·cm, 1 A</t>
        </is>
      </c>
      <c r="E19" s="24" t="inlineStr">
        <is>
          <t>J3 (aligera el brazo 2)</t>
        </is>
      </c>
      <c r="F19" s="23" t="inlineStr">
        <is>
          <t>HTM</t>
        </is>
      </c>
      <c r="G19" s="25" t="n">
        <v>1</v>
      </c>
      <c r="H19" s="23" t="inlineStr">
        <is>
          <t>Obligatorio</t>
        </is>
      </c>
      <c r="I19" s="24" t="inlineStr">
        <is>
          <t>Electrónica 2001 (preguntar)</t>
        </is>
      </c>
      <c r="J19" s="26" t="n"/>
      <c r="K19" s="25" t="n"/>
      <c r="L19" s="24" t="inlineStr"/>
      <c r="M19" s="26" t="n">
        <v>10.5</v>
      </c>
      <c r="N19" s="25" t="n">
        <v>1</v>
      </c>
      <c r="O19" s="27" t="n">
        <v>0.45</v>
      </c>
      <c r="P19" s="28">
        <f>IF(J19="","",ROUNDUP(G19/K19,0)*J19*(1-IF(ISNUMBER(SEARCH("Casa Rivas",I19)),DescCasaRivas,0)))</f>
        <v/>
      </c>
      <c r="Q19" s="28">
        <f>IF(M19="","",ROUNDUP(G19/N19,0)*(M19*(1+TasaVentasEEUU)+O19*FleteLb*(1+IVA)+M19*(1+RecargoCIF)*IVA))</f>
        <v/>
      </c>
      <c r="R19" s="23">
        <f>IF(AND(ISNUMBER(P19),ISNUMBER(Q19)),IF(P19&lt;=Q19,"Local","Amazon"),IF(ISNUMBER(P19),"Local",IF(ISNUMBER(Q19),"Amazon","—")))</f>
        <v/>
      </c>
      <c r="S19" s="25" t="inlineStr">
        <is>
          <t>Amazon</t>
        </is>
      </c>
      <c r="T19" s="28">
        <f>IF(S19="Amazon",IF(ISNUMBER(Q19),Q19,0),IF(ISNUMBER(P19),P19,0))</f>
        <v/>
      </c>
      <c r="U19" s="25" t="inlineStr">
        <is>
          <t>Ya lo tenemos</t>
        </is>
      </c>
      <c r="V19" s="28">
        <f>SUMIFS('Registro de gastos'!$F$10:$F$400,'Registro de gastos'!$B$10:$B$400,A19)</f>
        <v/>
      </c>
      <c r="W19" s="28">
        <f>IF(OR(U19="Por comprar",U19="Cotizado"),MAX(T19-V19,0),0)</f>
        <v/>
      </c>
      <c r="X19" s="28">
        <f>V19+W19</f>
        <v/>
      </c>
      <c r="Y19" s="25" t="n"/>
      <c r="Z19" s="29" t="inlineStr">
        <is>
          <t>https://www.amazon.com/dp/B0B93PNYCP</t>
        </is>
      </c>
      <c r="AA19" s="30" t="inlineStr">
        <is>
          <t>Prestado: si es de 40 mm también sirve en J3 (pesa más en el brazo 2). El artículo usa un NEMA 17 de 24 mm en J3. Si no lo consiguen, sirve uno de 40 mm (más peso en el brazo 2).</t>
        </is>
      </c>
      <c r="AB19" s="28">
        <f>IF(AND(S19="Amazon",ISNUMBER(M19),W19&gt;0),ROUNDUP(G19/N19,0)*M19,0)</f>
        <v/>
      </c>
      <c r="AC19" s="28">
        <f>IF(AND(ISNUMBER(P19),ISNUMBER(Q19)),MIN(P19,Q19),IF(ISNUMBER(P19),P19,IF(ISNUMBER(Q19),Q19,0)))</f>
        <v/>
      </c>
    </row>
    <row r="20">
      <c r="A20" s="22" t="inlineStr">
        <is>
          <t>ELE-03</t>
        </is>
      </c>
      <c r="B20" s="23" t="inlineStr">
        <is>
          <t>Motores y electrónica</t>
        </is>
      </c>
      <c r="C20" s="24" t="inlineStr">
        <is>
          <t>CNC Shield V3 + 4 drivers A4988</t>
        </is>
      </c>
      <c r="D20" s="24" t="inlineStr">
        <is>
          <t>Con disipadores y jumpers</t>
        </is>
      </c>
      <c r="E20" s="24" t="inlineStr">
        <is>
          <t>Control de los 4 motores</t>
        </is>
      </c>
      <c r="F20" s="23" t="inlineStr">
        <is>
          <t>HTM</t>
        </is>
      </c>
      <c r="G20" s="25" t="n">
        <v>1</v>
      </c>
      <c r="H20" s="23" t="inlineStr">
        <is>
          <t>Obligatorio</t>
        </is>
      </c>
      <c r="I20" s="24" t="inlineStr">
        <is>
          <t>ArduStore SV / Casa Rivas (preguntar)</t>
        </is>
      </c>
      <c r="J20" s="26" t="n">
        <v>18</v>
      </c>
      <c r="K20" s="25" t="n">
        <v>1</v>
      </c>
      <c r="L20" s="24" t="inlineStr">
        <is>
          <t>Cotizar (estimado)</t>
        </is>
      </c>
      <c r="M20" s="26" t="n">
        <v>9.99</v>
      </c>
      <c r="N20" s="25" t="n">
        <v>1</v>
      </c>
      <c r="O20" s="27" t="n">
        <v>0.25</v>
      </c>
      <c r="P20" s="28">
        <f>IF(J20="","",ROUNDUP(G20/K20,0)*J20*(1-IF(ISNUMBER(SEARCH("Casa Rivas",I20)),DescCasaRivas,0)))</f>
        <v/>
      </c>
      <c r="Q20" s="28">
        <f>IF(M20="","",ROUNDUP(G20/N20,0)*(M20*(1+TasaVentasEEUU)+O20*FleteLb*(1+IVA)+M20*(1+RecargoCIF)*IVA))</f>
        <v/>
      </c>
      <c r="R20" s="23">
        <f>IF(AND(ISNUMBER(P20),ISNUMBER(Q20)),IF(P20&lt;=Q20,"Local","Amazon"),IF(ISNUMBER(P20),"Local",IF(ISNUMBER(Q20),"Amazon","—")))</f>
        <v/>
      </c>
      <c r="S20" s="25" t="inlineStr">
        <is>
          <t>Amazon</t>
        </is>
      </c>
      <c r="T20" s="28">
        <f>IF(S20="Amazon",IF(ISNUMBER(Q20),Q20,0),IF(ISNUMBER(P20),P20,0))</f>
        <v/>
      </c>
      <c r="U20" s="25" t="inlineStr">
        <is>
          <t>Ya lo tenemos</t>
        </is>
      </c>
      <c r="V20" s="28">
        <f>SUMIFS('Registro de gastos'!$F$10:$F$400,'Registro de gastos'!$B$10:$B$400,A20)</f>
        <v/>
      </c>
      <c r="W20" s="28">
        <f>IF(OR(U20="Por comprar",U20="Cotizado"),MAX(T20-V20,0),0)</f>
        <v/>
      </c>
      <c r="X20" s="28">
        <f>V20+W20</f>
        <v/>
      </c>
      <c r="Y20" s="25" t="n"/>
      <c r="Z20" s="29" t="inlineStr">
        <is>
          <t>https://www.amazon.com/dp/B07TT3C3HB</t>
        </is>
      </c>
      <c r="AA20" s="30" t="inlineStr">
        <is>
          <t>Jumpers en ¼ de paso, como en el artículo.</t>
        </is>
      </c>
      <c r="AB20" s="28">
        <f>IF(AND(S20="Amazon",ISNUMBER(M20),W20&gt;0),ROUNDUP(G20/N20,0)*M20,0)</f>
        <v/>
      </c>
      <c r="AC20" s="28">
        <f>IF(AND(ISNUMBER(P20),ISNUMBER(Q20)),MIN(P20,Q20),IF(ISNUMBER(P20),P20,IF(ISNUMBER(Q20),Q20,0)))</f>
        <v/>
      </c>
    </row>
    <row r="21">
      <c r="A21" s="22" t="inlineStr">
        <is>
          <t>ELE-04</t>
        </is>
      </c>
      <c r="B21" s="23" t="inlineStr">
        <is>
          <t>Motores y electrónica</t>
        </is>
      </c>
      <c r="C21" s="24" t="inlineStr">
        <is>
          <t>Drivers A4988 de repuesto</t>
        </is>
      </c>
      <c r="D21" s="24" t="inlineStr">
        <is>
          <t>Paquete de 5 con disipador</t>
        </is>
      </c>
      <c r="E21" s="24" t="inlineStr">
        <is>
          <t>Reemplazo si se quema uno</t>
        </is>
      </c>
      <c r="F21" s="23" t="inlineStr">
        <is>
          <t>MathBot</t>
        </is>
      </c>
      <c r="G21" s="25" t="n">
        <v>5</v>
      </c>
      <c r="H21" s="23" t="inlineStr">
        <is>
          <t>Opcional</t>
        </is>
      </c>
      <c r="I21" s="24" t="inlineStr"/>
      <c r="J21" s="26" t="n"/>
      <c r="K21" s="25" t="n"/>
      <c r="L21" s="24" t="inlineStr"/>
      <c r="M21" s="26" t="n">
        <v>10.19</v>
      </c>
      <c r="N21" s="25" t="n">
        <v>5</v>
      </c>
      <c r="O21" s="27" t="n">
        <v>0.1</v>
      </c>
      <c r="P21" s="28">
        <f>IF(J21="","",ROUNDUP(G21/K21,0)*J21*(1-IF(ISNUMBER(SEARCH("Casa Rivas",I21)),DescCasaRivas,0)))</f>
        <v/>
      </c>
      <c r="Q21" s="28">
        <f>IF(M21="","",ROUNDUP(G21/N21,0)*(M21*(1+TasaVentasEEUU)+O21*FleteLb*(1+IVA)+M21*(1+RecargoCIF)*IVA))</f>
        <v/>
      </c>
      <c r="R21" s="23">
        <f>IF(AND(ISNUMBER(P21),ISNUMBER(Q21)),IF(P21&lt;=Q21,"Local","Amazon"),IF(ISNUMBER(P21),"Local",IF(ISNUMBER(Q21),"Amazon","—")))</f>
        <v/>
      </c>
      <c r="S21" s="25" t="inlineStr">
        <is>
          <t>Amazon</t>
        </is>
      </c>
      <c r="T21" s="28">
        <f>IF(S21="Amazon",IF(ISNUMBER(Q21),Q21,0),IF(ISNUMBER(P21),P21,0))</f>
        <v/>
      </c>
      <c r="U21" s="25" t="inlineStr">
        <is>
          <t>No comprar</t>
        </is>
      </c>
      <c r="V21" s="28">
        <f>SUMIFS('Registro de gastos'!$F$10:$F$400,'Registro de gastos'!$B$10:$B$400,A21)</f>
        <v/>
      </c>
      <c r="W21" s="28">
        <f>IF(OR(U21="Por comprar",U21="Cotizado"),MAX(T21-V21,0),0)</f>
        <v/>
      </c>
      <c r="X21" s="28">
        <f>V21+W21</f>
        <v/>
      </c>
      <c r="Y21" s="25" t="n"/>
      <c r="Z21" s="29" t="inlineStr">
        <is>
          <t>https://www.amazon.com/dp/B07BND65C8</t>
        </is>
      </c>
      <c r="AA21" s="30" t="inlineStr"/>
      <c r="AB21" s="28">
        <f>IF(AND(S21="Amazon",ISNUMBER(M21),W21&gt;0),ROUNDUP(G21/N21,0)*M21,0)</f>
        <v/>
      </c>
      <c r="AC21" s="28">
        <f>IF(AND(ISNUMBER(P21),ISNUMBER(Q21)),MIN(P21,Q21),IF(ISNUMBER(P21),P21,IF(ISNUMBER(Q21),Q21,0)))</f>
        <v/>
      </c>
    </row>
    <row r="22">
      <c r="A22" s="22" t="inlineStr">
        <is>
          <t>ELE-05</t>
        </is>
      </c>
      <c r="B22" s="23" t="inlineStr">
        <is>
          <t>Motores y electrónica</t>
        </is>
      </c>
      <c r="C22" s="24" t="inlineStr">
        <is>
          <t>Arduino MEGA 2560 R3 (compatible)</t>
        </is>
      </c>
      <c r="D22" s="24" t="inlineStr">
        <is>
          <t>ATmega2560</t>
        </is>
      </c>
      <c r="E22" s="24" t="inlineStr">
        <is>
          <t>Cerebro del robot</t>
        </is>
      </c>
      <c r="F22" s="23" t="inlineStr">
        <is>
          <t>MathBot</t>
        </is>
      </c>
      <c r="G22" s="25" t="n">
        <v>1</v>
      </c>
      <c r="H22" s="23" t="inlineStr">
        <is>
          <t>Obligatorio</t>
        </is>
      </c>
      <c r="I22" s="24" t="inlineStr">
        <is>
          <t>Electrónica 2001 / Casa Rivas</t>
        </is>
      </c>
      <c r="J22" s="26" t="n"/>
      <c r="K22" s="25" t="n"/>
      <c r="L22" s="24" t="inlineStr">
        <is>
          <t>Cotizar</t>
        </is>
      </c>
      <c r="M22" s="26" t="n"/>
      <c r="N22" s="25" t="n"/>
      <c r="O22" s="27" t="n">
        <v>0.2</v>
      </c>
      <c r="P22" s="28">
        <f>IF(J22="","",ROUNDUP(G22/K22,0)*J22*(1-IF(ISNUMBER(SEARCH("Casa Rivas",I22)),DescCasaRivas,0)))</f>
        <v/>
      </c>
      <c r="Q22" s="28">
        <f>IF(M22="","",ROUNDUP(G22/N22,0)*(M22*(1+TasaVentasEEUU)+O22*FleteLb*(1+IVA)+M22*(1+RecargoCIF)*IVA))</f>
        <v/>
      </c>
      <c r="R22" s="23">
        <f>IF(AND(ISNUMBER(P22),ISNUMBER(Q22)),IF(P22&lt;=Q22,"Local","Amazon"),IF(ISNUMBER(P22),"Local",IF(ISNUMBER(Q22),"Amazon","—")))</f>
        <v/>
      </c>
      <c r="S22" s="25" t="inlineStr">
        <is>
          <t>Local</t>
        </is>
      </c>
      <c r="T22" s="28">
        <f>IF(S22="Amazon",IF(ISNUMBER(Q22),Q22,0),IF(ISNUMBER(P22),P22,0))</f>
        <v/>
      </c>
      <c r="U22" s="25" t="inlineStr">
        <is>
          <t>Ya lo tenemos</t>
        </is>
      </c>
      <c r="V22" s="28">
        <f>SUMIFS('Registro de gastos'!$F$10:$F$400,'Registro de gastos'!$B$10:$B$400,A22)</f>
        <v/>
      </c>
      <c r="W22" s="28">
        <f>IF(OR(U22="Por comprar",U22="Cotizado"),MAX(T22-V22,0),0)</f>
        <v/>
      </c>
      <c r="X22" s="28">
        <f>V22+W22</f>
        <v/>
      </c>
      <c r="Y22" s="25" t="n"/>
      <c r="Z22" s="29" t="inlineStr">
        <is>
          <t>https://www.amazon.com/s?k=Arduino+Mega+2560+R3</t>
        </is>
      </c>
      <c r="AA22" s="30" t="inlineStr">
        <is>
          <t>Prestado: confirmar que sea un MEGA 2560 (un UNO no tiene los pines del cabezal). El firmware (firmware/mathbot_mega) usa pines que el UNO no tiene: D22 sensor, D24 electroimán, D44 servo. La CNC Shield V3 encaja igual que sobre el UNO.</t>
        </is>
      </c>
      <c r="AB22" s="28">
        <f>IF(AND(S22="Amazon",ISNUMBER(M22),W22&gt;0),ROUNDUP(G22/N22,0)*M22,0)</f>
        <v/>
      </c>
      <c r="AC22" s="28">
        <f>IF(AND(ISNUMBER(P22),ISNUMBER(Q22)),MIN(P22,Q22),IF(ISNUMBER(P22),P22,IF(ISNUMBER(Q22),Q22,0)))</f>
        <v/>
      </c>
    </row>
    <row r="23">
      <c r="A23" s="22" t="inlineStr">
        <is>
          <t>ELE-06</t>
        </is>
      </c>
      <c r="B23" s="23" t="inlineStr">
        <is>
          <t>Motores y electrónica</t>
        </is>
      </c>
      <c r="C23" s="24" t="inlineStr">
        <is>
          <t>Fuente de 12 V</t>
        </is>
      </c>
      <c r="D23" s="24" t="inlineStr">
        <is>
          <t>Mín. 4 A; el artículo sugiere 6 A</t>
        </is>
      </c>
      <c r="E23" s="24" t="inlineStr">
        <is>
          <t>Alimentación general</t>
        </is>
      </c>
      <c r="F23" s="23" t="inlineStr">
        <is>
          <t>HTM</t>
        </is>
      </c>
      <c r="G23" s="25" t="n">
        <v>1</v>
      </c>
      <c r="H23" s="23" t="inlineStr">
        <is>
          <t>Obligatorio</t>
        </is>
      </c>
      <c r="I23" s="24" t="inlineStr">
        <is>
          <t>Steren (ELI-1260, 12 V 5 A)</t>
        </is>
      </c>
      <c r="J23" s="26" t="n">
        <v>25</v>
      </c>
      <c r="K23" s="25" t="n">
        <v>1</v>
      </c>
      <c r="L23" s="24" t="inlineStr">
        <is>
          <t>Verificado en línea 06-oct-2026</t>
        </is>
      </c>
      <c r="M23" s="26" t="n">
        <v>15.99</v>
      </c>
      <c r="N23" s="25" t="n">
        <v>1</v>
      </c>
      <c r="O23" s="27" t="n">
        <v>0.9</v>
      </c>
      <c r="P23" s="28">
        <f>IF(J23="","",ROUNDUP(G23/K23,0)*J23*(1-IF(ISNUMBER(SEARCH("Casa Rivas",I23)),DescCasaRivas,0)))</f>
        <v/>
      </c>
      <c r="Q23" s="28">
        <f>IF(M23="","",ROUNDUP(G23/N23,0)*(M23*(1+TasaVentasEEUU)+O23*FleteLb*(1+IVA)+M23*(1+RecargoCIF)*IVA))</f>
        <v/>
      </c>
      <c r="R23" s="23">
        <f>IF(AND(ISNUMBER(P23),ISNUMBER(Q23)),IF(P23&lt;=Q23,"Local","Amazon"),IF(ISNUMBER(P23),"Local",IF(ISNUMBER(Q23),"Amazon","—")))</f>
        <v/>
      </c>
      <c r="S23" s="25" t="inlineStr">
        <is>
          <t>Amazon</t>
        </is>
      </c>
      <c r="T23" s="28">
        <f>IF(S23="Amazon",IF(ISNUMBER(Q23),Q23,0),IF(ISNUMBER(P23),P23,0))</f>
        <v/>
      </c>
      <c r="U23" s="25" t="inlineStr">
        <is>
          <t>Ya lo tenemos</t>
        </is>
      </c>
      <c r="V23" s="28">
        <f>SUMIFS('Registro de gastos'!$F$10:$F$400,'Registro de gastos'!$B$10:$B$400,A23)</f>
        <v/>
      </c>
      <c r="W23" s="28">
        <f>IF(OR(U23="Por comprar",U23="Cotizado"),MAX(T23-V23,0),0)</f>
        <v/>
      </c>
      <c r="X23" s="28">
        <f>V23+W23</f>
        <v/>
      </c>
      <c r="Y23" s="25" t="n"/>
      <c r="Z23" s="29" t="inlineStr">
        <is>
          <t>https://www.amazon.com/dp/B082PCR5YS</t>
        </is>
      </c>
      <c r="AA23" s="30" t="inlineStr">
        <is>
          <t>Usarán una fuente propia: confirmar que da 12 V y al menos 4 A (mejor 5 A con electroimán y servo). Amazon: ALITOVE 12 V 6 A. Steren también tiene la ELI-F3012 (12 V 30 A, USD 27.99), que es abierta y hay que cablear a 120 V.</t>
        </is>
      </c>
      <c r="AB23" s="28">
        <f>IF(AND(S23="Amazon",ISNUMBER(M23),W23&gt;0),ROUNDUP(G23/N23,0)*M23,0)</f>
        <v/>
      </c>
      <c r="AC23" s="28">
        <f>IF(AND(ISNUMBER(P23),ISNUMBER(Q23)),MIN(P23,Q23),IF(ISNUMBER(P23),P23,IF(ISNUMBER(Q23),Q23,0)))</f>
        <v/>
      </c>
    </row>
    <row r="24">
      <c r="A24" s="22" t="inlineStr">
        <is>
          <t>ELE-07</t>
        </is>
      </c>
      <c r="B24" s="23" t="inlineStr">
        <is>
          <t>Motores y electrónica</t>
        </is>
      </c>
      <c r="C24" s="24" t="inlineStr">
        <is>
          <t>Final de carrera (micro switch con palanca)</t>
        </is>
      </c>
      <c r="D24" s="24" t="inlineStr"/>
      <c r="E24" s="24" t="inlineStr">
        <is>
          <t>Homing de J1, J2, J3 y Z</t>
        </is>
      </c>
      <c r="F24" s="23" t="inlineStr">
        <is>
          <t>HTM</t>
        </is>
      </c>
      <c r="G24" s="25" t="n">
        <v>4</v>
      </c>
      <c r="H24" s="23" t="inlineStr">
        <is>
          <t>Obligatorio</t>
        </is>
      </c>
      <c r="I24" s="24" t="inlineStr">
        <is>
          <t>Steren (SS0501A)</t>
        </is>
      </c>
      <c r="J24" s="26" t="n">
        <v>0.75</v>
      </c>
      <c r="K24" s="25" t="n">
        <v>1</v>
      </c>
      <c r="L24" s="24" t="inlineStr">
        <is>
          <t>Verificado en línea 06-oct-2026</t>
        </is>
      </c>
      <c r="M24" s="26" t="n">
        <v>5.99</v>
      </c>
      <c r="N24" s="25" t="n">
        <v>10</v>
      </c>
      <c r="O24" s="27" t="n">
        <v>0.15</v>
      </c>
      <c r="P24" s="28">
        <f>IF(J24="","",ROUNDUP(G24/K24,0)*J24*(1-IF(ISNUMBER(SEARCH("Casa Rivas",I24)),DescCasaRivas,0)))</f>
        <v/>
      </c>
      <c r="Q24" s="28">
        <f>IF(M24="","",ROUNDUP(G24/N24,0)*(M24*(1+TasaVentasEEUU)+O24*FleteLb*(1+IVA)+M24*(1+RecargoCIF)*IVA))</f>
        <v/>
      </c>
      <c r="R24" s="23">
        <f>IF(AND(ISNUMBER(P24),ISNUMBER(Q24)),IF(P24&lt;=Q24,"Local","Amazon"),IF(ISNUMBER(P24),"Local",IF(ISNUMBER(Q24),"Amazon","—")))</f>
        <v/>
      </c>
      <c r="S24" s="25" t="inlineStr">
        <is>
          <t>Local</t>
        </is>
      </c>
      <c r="T24" s="28">
        <f>IF(S24="Amazon",IF(ISNUMBER(Q24),Q24,0),IF(ISNUMBER(P24),P24,0))</f>
        <v/>
      </c>
      <c r="U24" s="25" t="inlineStr">
        <is>
          <t>Por comprar</t>
        </is>
      </c>
      <c r="V24" s="28">
        <f>SUMIFS('Registro de gastos'!$F$10:$F$400,'Registro de gastos'!$B$10:$B$400,A24)</f>
        <v/>
      </c>
      <c r="W24" s="28">
        <f>IF(OR(U24="Por comprar",U24="Cotizado"),MAX(T24-V24,0),0)</f>
        <v/>
      </c>
      <c r="X24" s="28">
        <f>V24+W24</f>
        <v/>
      </c>
      <c r="Y24" s="25" t="n"/>
      <c r="Z24" s="29" t="inlineStr">
        <is>
          <t>https://www.amazon.com/dp/B07X142VGC</t>
        </is>
      </c>
      <c r="AA24" s="30" t="inlineStr"/>
      <c r="AB24" s="28">
        <f>IF(AND(S24="Amazon",ISNUMBER(M24),W24&gt;0),ROUNDUP(G24/N24,0)*M24,0)</f>
        <v/>
      </c>
      <c r="AC24" s="28">
        <f>IF(AND(ISNUMBER(P24),ISNUMBER(Q24)),MIN(P24,Q24),IF(ISNUMBER(P24),P24,IF(ISNUMBER(Q24),Q24,0)))</f>
        <v/>
      </c>
    </row>
    <row r="25">
      <c r="A25" s="22" t="inlineStr">
        <is>
          <t>ELE-08</t>
        </is>
      </c>
      <c r="B25" s="23" t="inlineStr">
        <is>
          <t>Motores y electrónica</t>
        </is>
      </c>
      <c r="C25" s="24" t="inlineStr">
        <is>
          <t>Cables de motor de 1 m</t>
        </is>
      </c>
      <c r="D25" s="24" t="inlineStr">
        <is>
          <t>XH2.54 de 4 pines, paquete de 4</t>
        </is>
      </c>
      <c r="E25" s="24" t="inlineStr">
        <is>
          <t>Llevar los motores hasta la CNC Shield</t>
        </is>
      </c>
      <c r="F25" s="23" t="inlineStr">
        <is>
          <t>HTM</t>
        </is>
      </c>
      <c r="G25" s="25" t="n">
        <v>4</v>
      </c>
      <c r="H25" s="23" t="inlineStr">
        <is>
          <t>Recomendado</t>
        </is>
      </c>
      <c r="I25" s="24" t="inlineStr"/>
      <c r="J25" s="26" t="n"/>
      <c r="K25" s="25" t="n"/>
      <c r="L25" s="24" t="inlineStr"/>
      <c r="M25" s="26" t="n">
        <v>7.99</v>
      </c>
      <c r="N25" s="25" t="n">
        <v>4</v>
      </c>
      <c r="O25" s="27" t="n">
        <v>0.3</v>
      </c>
      <c r="P25" s="28">
        <f>IF(J25="","",ROUNDUP(G25/K25,0)*J25*(1-IF(ISNUMBER(SEARCH("Casa Rivas",I25)),DescCasaRivas,0)))</f>
        <v/>
      </c>
      <c r="Q25" s="28">
        <f>IF(M25="","",ROUNDUP(G25/N25,0)*(M25*(1+TasaVentasEEUU)+O25*FleteLb*(1+IVA)+M25*(1+RecargoCIF)*IVA))</f>
        <v/>
      </c>
      <c r="R25" s="23">
        <f>IF(AND(ISNUMBER(P25),ISNUMBER(Q25)),IF(P25&lt;=Q25,"Local","Amazon"),IF(ISNUMBER(P25),"Local",IF(ISNUMBER(Q25),"Amazon","—")))</f>
        <v/>
      </c>
      <c r="S25" s="25" t="inlineStr">
        <is>
          <t>Amazon</t>
        </is>
      </c>
      <c r="T25" s="28">
        <f>IF(S25="Amazon",IF(ISNUMBER(Q25),Q25,0),IF(ISNUMBER(P25),P25,0))</f>
        <v/>
      </c>
      <c r="U25" s="25" t="inlineStr">
        <is>
          <t>Por comprar</t>
        </is>
      </c>
      <c r="V25" s="28">
        <f>SUMIFS('Registro de gastos'!$F$10:$F$400,'Registro de gastos'!$B$10:$B$400,A25)</f>
        <v/>
      </c>
      <c r="W25" s="28">
        <f>IF(OR(U25="Por comprar",U25="Cotizado"),MAX(T25-V25,0),0)</f>
        <v/>
      </c>
      <c r="X25" s="28">
        <f>V25+W25</f>
        <v/>
      </c>
      <c r="Y25" s="25" t="n"/>
      <c r="Z25" s="29" t="inlineStr">
        <is>
          <t>https://www.amazon.com/dp/B0GYP4NNBR</t>
        </is>
      </c>
      <c r="AA25" s="30" t="inlineStr">
        <is>
          <t>Los NEMA suelen traer cable corto; J2 y J3 necesitan ≈1 m por los ejes huecos.</t>
        </is>
      </c>
      <c r="AB25" s="28">
        <f>IF(AND(S25="Amazon",ISNUMBER(M25),W25&gt;0),ROUNDUP(G25/N25,0)*M25,0)</f>
        <v/>
      </c>
      <c r="AC25" s="28">
        <f>IF(AND(ISNUMBER(P25),ISNUMBER(Q25)),MIN(P25,Q25),IF(ISNUMBER(P25),P25,IF(ISNUMBER(Q25),Q25,0)))</f>
        <v/>
      </c>
    </row>
    <row r="26">
      <c r="A26" s="22" t="inlineStr">
        <is>
          <t>ELE-09</t>
        </is>
      </c>
      <c r="B26" s="23" t="inlineStr">
        <is>
          <t>Motores y electrónica</t>
        </is>
      </c>
      <c r="C26" s="24" t="inlineStr">
        <is>
          <t>Cables Dupont (80 pzs, 15 cm)</t>
        </is>
      </c>
      <c r="D26" s="24" t="inlineStr"/>
      <c r="E26" s="24" t="inlineStr">
        <is>
          <t>Pruebas y conexiones del cabezal</t>
        </is>
      </c>
      <c r="F26" s="23" t="inlineStr">
        <is>
          <t>MathBot</t>
        </is>
      </c>
      <c r="G26" s="25" t="n">
        <v>1</v>
      </c>
      <c r="H26" s="23" t="inlineStr">
        <is>
          <t>Recomendado</t>
        </is>
      </c>
      <c r="I26" s="24" t="inlineStr">
        <is>
          <t>Steren (ARD-310)</t>
        </is>
      </c>
      <c r="J26" s="26" t="n">
        <v>3.99</v>
      </c>
      <c r="K26" s="25" t="n">
        <v>1</v>
      </c>
      <c r="L26" s="24" t="inlineStr">
        <is>
          <t>Verificado en línea 06-oct-2026</t>
        </is>
      </c>
      <c r="M26" s="26" t="n"/>
      <c r="N26" s="25" t="n"/>
      <c r="O26" s="27" t="n"/>
      <c r="P26" s="28">
        <f>IF(J26="","",ROUNDUP(G26/K26,0)*J26*(1-IF(ISNUMBER(SEARCH("Casa Rivas",I26)),DescCasaRivas,0)))</f>
        <v/>
      </c>
      <c r="Q26" s="28">
        <f>IF(M26="","",ROUNDUP(G26/N26,0)*(M26*(1+TasaVentasEEUU)+O26*FleteLb*(1+IVA)+M26*(1+RecargoCIF)*IVA))</f>
        <v/>
      </c>
      <c r="R26" s="23">
        <f>IF(AND(ISNUMBER(P26),ISNUMBER(Q26)),IF(P26&lt;=Q26,"Local","Amazon"),IF(ISNUMBER(P26),"Local",IF(ISNUMBER(Q26),"Amazon","—")))</f>
        <v/>
      </c>
      <c r="S26" s="25" t="inlineStr">
        <is>
          <t>Local</t>
        </is>
      </c>
      <c r="T26" s="28">
        <f>IF(S26="Amazon",IF(ISNUMBER(Q26),Q26,0),IF(ISNUMBER(P26),P26,0))</f>
        <v/>
      </c>
      <c r="U26" s="25" t="inlineStr">
        <is>
          <t>Ya lo tenemos</t>
        </is>
      </c>
      <c r="V26" s="28">
        <f>SUMIFS('Registro de gastos'!$F$10:$F$400,'Registro de gastos'!$B$10:$B$400,A26)</f>
        <v/>
      </c>
      <c r="W26" s="28">
        <f>IF(OR(U26="Por comprar",U26="Cotizado"),MAX(T26-V26,0),0)</f>
        <v/>
      </c>
      <c r="X26" s="28">
        <f>V26+W26</f>
        <v/>
      </c>
      <c r="Y26" s="25" t="n"/>
      <c r="Z26" s="23" t="n"/>
      <c r="AA26" s="30" t="inlineStr">
        <is>
          <t>Tienen jumpers de sobra.</t>
        </is>
      </c>
      <c r="AB26" s="28">
        <f>IF(AND(S26="Amazon",ISNUMBER(M26),W26&gt;0),ROUNDUP(G26/N26,0)*M26,0)</f>
        <v/>
      </c>
      <c r="AC26" s="28">
        <f>IF(AND(ISNUMBER(P26),ISNUMBER(Q26)),MIN(P26,Q26),IF(ISNUMBER(P26),P26,IF(ISNUMBER(Q26),Q26,0)))</f>
        <v/>
      </c>
    </row>
    <row r="27">
      <c r="A27" s="22" t="inlineStr">
        <is>
          <t>ELE-10</t>
        </is>
      </c>
      <c r="B27" s="23" t="inlineStr">
        <is>
          <t>Motores y electrónica</t>
        </is>
      </c>
      <c r="C27" s="24" t="inlineStr">
        <is>
          <t>Jack DC hembra + bornera de potencia</t>
        </is>
      </c>
      <c r="D27" s="24" t="inlineStr">
        <is>
          <t>5.5 × 2.1 mm</t>
        </is>
      </c>
      <c r="E27" s="24" t="inlineStr">
        <is>
          <t>Entrada de 12 V a la CNC Shield</t>
        </is>
      </c>
      <c r="F27" s="23" t="inlineStr">
        <is>
          <t>HTM</t>
        </is>
      </c>
      <c r="G27" s="25" t="n">
        <v>1</v>
      </c>
      <c r="H27" s="23" t="inlineStr">
        <is>
          <t>Obligatorio</t>
        </is>
      </c>
      <c r="I27" s="24" t="inlineStr">
        <is>
          <t>Casa Rivas</t>
        </is>
      </c>
      <c r="J27" s="26" t="n">
        <v>1.5</v>
      </c>
      <c r="K27" s="25" t="n">
        <v>1</v>
      </c>
      <c r="L27" s="24" t="inlineStr">
        <is>
          <t>Estimado</t>
        </is>
      </c>
      <c r="M27" s="26" t="n"/>
      <c r="N27" s="25" t="n"/>
      <c r="O27" s="27" t="n"/>
      <c r="P27" s="28">
        <f>IF(J27="","",ROUNDUP(G27/K27,0)*J27*(1-IF(ISNUMBER(SEARCH("Casa Rivas",I27)),DescCasaRivas,0)))</f>
        <v/>
      </c>
      <c r="Q27" s="28">
        <f>IF(M27="","",ROUNDUP(G27/N27,0)*(M27*(1+TasaVentasEEUU)+O27*FleteLb*(1+IVA)+M27*(1+RecargoCIF)*IVA))</f>
        <v/>
      </c>
      <c r="R27" s="23">
        <f>IF(AND(ISNUMBER(P27),ISNUMBER(Q27)),IF(P27&lt;=Q27,"Local","Amazon"),IF(ISNUMBER(P27),"Local",IF(ISNUMBER(Q27),"Amazon","—")))</f>
        <v/>
      </c>
      <c r="S27" s="25" t="inlineStr">
        <is>
          <t>Local</t>
        </is>
      </c>
      <c r="T27" s="28">
        <f>IF(S27="Amazon",IF(ISNUMBER(Q27),Q27,0),IF(ISNUMBER(P27),P27,0))</f>
        <v/>
      </c>
      <c r="U27" s="25" t="inlineStr">
        <is>
          <t>Por comprar</t>
        </is>
      </c>
      <c r="V27" s="28">
        <f>SUMIFS('Registro de gastos'!$F$10:$F$400,'Registro de gastos'!$B$10:$B$400,A27)</f>
        <v/>
      </c>
      <c r="W27" s="28">
        <f>IF(OR(U27="Por comprar",U27="Cotizado"),MAX(T27-V27,0),0)</f>
        <v/>
      </c>
      <c r="X27" s="28">
        <f>V27+W27</f>
        <v/>
      </c>
      <c r="Y27" s="25" t="n"/>
      <c r="Z27" s="23" t="n"/>
      <c r="AA27" s="30" t="inlineStr"/>
      <c r="AB27" s="28">
        <f>IF(AND(S27="Amazon",ISNUMBER(M27),W27&gt;0),ROUNDUP(G27/N27,0)*M27,0)</f>
        <v/>
      </c>
      <c r="AC27" s="28">
        <f>IF(AND(ISNUMBER(P27),ISNUMBER(Q27)),MIN(P27,Q27),IF(ISNUMBER(P27),P27,IF(ISNUMBER(Q27),Q27,0)))</f>
        <v/>
      </c>
    </row>
    <row r="28">
      <c r="A28" s="22" t="inlineStr">
        <is>
          <t>CAB-01</t>
        </is>
      </c>
      <c r="B28" s="23" t="inlineStr">
        <is>
          <t>Cabezal de disco</t>
        </is>
      </c>
      <c r="C28" s="24" t="inlineStr">
        <is>
          <t>Electroimán 12 V P20/15</t>
        </is>
      </c>
      <c r="D28" s="24" t="inlineStr">
        <is>
          <t>Ø20 × 15 mm, 2.5 kgf, ≈0.25 A</t>
        </is>
      </c>
      <c r="E28" s="24" t="inlineStr">
        <is>
          <t>Recoger las piezas metálicas</t>
        </is>
      </c>
      <c r="F28" s="23" t="inlineStr">
        <is>
          <t>MathBot</t>
        </is>
      </c>
      <c r="G28" s="25" t="n">
        <v>1</v>
      </c>
      <c r="H28" s="23" t="inlineStr">
        <is>
          <t>Obligatorio</t>
        </is>
      </c>
      <c r="I28" s="24" t="inlineStr">
        <is>
          <t>No se encontró en el país</t>
        </is>
      </c>
      <c r="J28" s="26" t="n"/>
      <c r="K28" s="25" t="n"/>
      <c r="L28" s="24" t="inlineStr"/>
      <c r="M28" s="26" t="n">
        <v>6.59</v>
      </c>
      <c r="N28" s="25" t="n">
        <v>1</v>
      </c>
      <c r="O28" s="27" t="n">
        <v>0.15</v>
      </c>
      <c r="P28" s="28">
        <f>IF(J28="","",ROUNDUP(G28/K28,0)*J28*(1-IF(ISNUMBER(SEARCH("Casa Rivas",I28)),DescCasaRivas,0)))</f>
        <v/>
      </c>
      <c r="Q28" s="28">
        <f>IF(M28="","",ROUNDUP(G28/N28,0)*(M28*(1+TasaVentasEEUU)+O28*FleteLb*(1+IVA)+M28*(1+RecargoCIF)*IVA))</f>
        <v/>
      </c>
      <c r="R28" s="23">
        <f>IF(AND(ISNUMBER(P28),ISNUMBER(Q28)),IF(P28&lt;=Q28,"Local","Amazon"),IF(ISNUMBER(P28),"Local",IF(ISNUMBER(Q28),"Amazon","—")))</f>
        <v/>
      </c>
      <c r="S28" s="25" t="inlineStr">
        <is>
          <t>Amazon</t>
        </is>
      </c>
      <c r="T28" s="28">
        <f>IF(S28="Amazon",IF(ISNUMBER(Q28),Q28,0),IF(ISNUMBER(P28),P28,0))</f>
        <v/>
      </c>
      <c r="U28" s="25" t="inlineStr">
        <is>
          <t>Por comprar</t>
        </is>
      </c>
      <c r="V28" s="28">
        <f>SUMIFS('Registro de gastos'!$F$10:$F$400,'Registro de gastos'!$B$10:$B$400,A28)</f>
        <v/>
      </c>
      <c r="W28" s="28">
        <f>IF(OR(U28="Por comprar",U28="Cotizado"),MAX(T28-V28,0),0)</f>
        <v/>
      </c>
      <c r="X28" s="28">
        <f>V28+W28</f>
        <v/>
      </c>
      <c r="Y28" s="25" t="n"/>
      <c r="Z28" s="29" t="inlineStr">
        <is>
          <t>https://www.amazon.com/dp/B078KBJNFC</t>
        </is>
      </c>
      <c r="AA28" s="30" t="inlineStr"/>
      <c r="AB28" s="28">
        <f>IF(AND(S28="Amazon",ISNUMBER(M28),W28&gt;0),ROUNDUP(G28/N28,0)*M28,0)</f>
        <v/>
      </c>
      <c r="AC28" s="28">
        <f>IF(AND(ISNUMBER(P28),ISNUMBER(Q28)),MIN(P28,Q28),IF(ISNUMBER(P28),P28,IF(ISNUMBER(Q28),Q28,0)))</f>
        <v/>
      </c>
    </row>
    <row r="29">
      <c r="A29" s="22" t="inlineStr">
        <is>
          <t>CAB-02</t>
        </is>
      </c>
      <c r="B29" s="23" t="inlineStr">
        <is>
          <t>Cabezal de disco</t>
        </is>
      </c>
      <c r="C29" s="24" t="inlineStr">
        <is>
          <t>Sensor inductivo LJ12A3-4-Z/BX</t>
        </is>
      </c>
      <c r="D29" s="24" t="inlineStr">
        <is>
          <t>M12, NPN NA, 6–36 V, detecta a 4 mm</t>
        </is>
      </c>
      <c r="E29" s="24" t="inlineStr">
        <is>
          <t>Detectar metal</t>
        </is>
      </c>
      <c r="F29" s="23" t="inlineStr">
        <is>
          <t>MathBot</t>
        </is>
      </c>
      <c r="G29" s="25" t="n">
        <v>1</v>
      </c>
      <c r="H29" s="23" t="inlineStr">
        <is>
          <t>Obligatorio</t>
        </is>
      </c>
      <c r="I29" s="24" t="inlineStr">
        <is>
          <t>Prestelectro / Intek (industrial)</t>
        </is>
      </c>
      <c r="J29" s="26" t="n">
        <v>35</v>
      </c>
      <c r="K29" s="25" t="n">
        <v>1</v>
      </c>
      <c r="L29" s="24" t="inlineStr">
        <is>
          <t>Estimado (USD 25–60)</t>
        </is>
      </c>
      <c r="M29" s="26" t="n">
        <v>9.99</v>
      </c>
      <c r="N29" s="25" t="n">
        <v>3</v>
      </c>
      <c r="O29" s="27" t="n">
        <v>0.35</v>
      </c>
      <c r="P29" s="28">
        <f>IF(J29="","",ROUNDUP(G29/K29,0)*J29*(1-IF(ISNUMBER(SEARCH("Casa Rivas",I29)),DescCasaRivas,0)))</f>
        <v/>
      </c>
      <c r="Q29" s="28">
        <f>IF(M29="","",ROUNDUP(G29/N29,0)*(M29*(1+TasaVentasEEUU)+O29*FleteLb*(1+IVA)+M29*(1+RecargoCIF)*IVA))</f>
        <v/>
      </c>
      <c r="R29" s="23">
        <f>IF(AND(ISNUMBER(P29),ISNUMBER(Q29)),IF(P29&lt;=Q29,"Local","Amazon"),IF(ISNUMBER(P29),"Local",IF(ISNUMBER(Q29),"Amazon","—")))</f>
        <v/>
      </c>
      <c r="S29" s="25" t="inlineStr">
        <is>
          <t>Amazon</t>
        </is>
      </c>
      <c r="T29" s="28">
        <f>IF(S29="Amazon",IF(ISNUMBER(Q29),Q29,0),IF(ISNUMBER(P29),P29,0))</f>
        <v/>
      </c>
      <c r="U29" s="25" t="inlineStr">
        <is>
          <t>Por comprar</t>
        </is>
      </c>
      <c r="V29" s="28">
        <f>SUMIFS('Registro de gastos'!$F$10:$F$400,'Registro de gastos'!$B$10:$B$400,A29)</f>
        <v/>
      </c>
      <c r="W29" s="28">
        <f>IF(OR(U29="Por comprar",U29="Cotizado"),MAX(T29-V29,0),0)</f>
        <v/>
      </c>
      <c r="X29" s="28">
        <f>V29+W29</f>
        <v/>
      </c>
      <c r="Y29" s="25" t="n"/>
      <c r="Z29" s="29" t="inlineStr">
        <is>
          <t>https://www.amazon.com/s?k=LJ12A3-4-Z%2FBX</t>
        </is>
      </c>
      <c r="AA29" s="30" t="inlineStr">
        <is>
          <t>Paquete de 3: quedan 2 de repuesto. Uno individual (DEVMO, B07TMKTZ9L) cuesta USD 12.99.</t>
        </is>
      </c>
      <c r="AB29" s="28">
        <f>IF(AND(S29="Amazon",ISNUMBER(M29),W29&gt;0),ROUNDUP(G29/N29,0)*M29,0)</f>
        <v/>
      </c>
      <c r="AC29" s="28">
        <f>IF(AND(ISNUMBER(P29),ISNUMBER(Q29)),MIN(P29,Q29),IF(ISNUMBER(P29),P29,IF(ISNUMBER(Q29),Q29,0)))</f>
        <v/>
      </c>
    </row>
    <row r="30">
      <c r="A30" s="22" t="inlineStr">
        <is>
          <t>CAB-03</t>
        </is>
      </c>
      <c r="B30" s="23" t="inlineStr">
        <is>
          <t>Cabezal de disco</t>
        </is>
      </c>
      <c r="C30" s="24" t="inlineStr">
        <is>
          <t>Micro servo SG90 / MG90S</t>
        </is>
      </c>
      <c r="D30" s="24" t="inlineStr"/>
      <c r="E30" s="24" t="inlineStr">
        <is>
          <t>Levantar el plumón 18 mm</t>
        </is>
      </c>
      <c r="F30" s="23" t="inlineStr">
        <is>
          <t>MathBot</t>
        </is>
      </c>
      <c r="G30" s="25" t="n">
        <v>1</v>
      </c>
      <c r="H30" s="23" t="inlineStr">
        <is>
          <t>Obligatorio</t>
        </is>
      </c>
      <c r="I30" s="24" t="inlineStr">
        <is>
          <t>Casa Rivas</t>
        </is>
      </c>
      <c r="J30" s="26" t="n">
        <v>4</v>
      </c>
      <c r="K30" s="25" t="n">
        <v>1</v>
      </c>
      <c r="L30" s="24" t="inlineStr">
        <is>
          <t>Estimado (hay en el país)</t>
        </is>
      </c>
      <c r="M30" s="26" t="n">
        <v>8.880000000000001</v>
      </c>
      <c r="N30" s="25" t="n">
        <v>2</v>
      </c>
      <c r="O30" s="27" t="n">
        <v>0.15</v>
      </c>
      <c r="P30" s="28">
        <f>IF(J30="","",ROUNDUP(G30/K30,0)*J30*(1-IF(ISNUMBER(SEARCH("Casa Rivas",I30)),DescCasaRivas,0)))</f>
        <v/>
      </c>
      <c r="Q30" s="28">
        <f>IF(M30="","",ROUNDUP(G30/N30,0)*(M30*(1+TasaVentasEEUU)+O30*FleteLb*(1+IVA)+M30*(1+RecargoCIF)*IVA))</f>
        <v/>
      </c>
      <c r="R30" s="23">
        <f>IF(AND(ISNUMBER(P30),ISNUMBER(Q30)),IF(P30&lt;=Q30,"Local","Amazon"),IF(ISNUMBER(P30),"Local",IF(ISNUMBER(Q30),"Amazon","—")))</f>
        <v/>
      </c>
      <c r="S30" s="25" t="inlineStr">
        <is>
          <t>Local</t>
        </is>
      </c>
      <c r="T30" s="28">
        <f>IF(S30="Amazon",IF(ISNUMBER(Q30),Q30,0),IF(ISNUMBER(P30),P30,0))</f>
        <v/>
      </c>
      <c r="U30" s="25" t="inlineStr">
        <is>
          <t>Por comprar</t>
        </is>
      </c>
      <c r="V30" s="28">
        <f>SUMIFS('Registro de gastos'!$F$10:$F$400,'Registro de gastos'!$B$10:$B$400,A30)</f>
        <v/>
      </c>
      <c r="W30" s="28">
        <f>IF(OR(U30="Por comprar",U30="Cotizado"),MAX(T30-V30,0),0)</f>
        <v/>
      </c>
      <c r="X30" s="28">
        <f>V30+W30</f>
        <v/>
      </c>
      <c r="Y30" s="25" t="n"/>
      <c r="Z30" s="29" t="inlineStr">
        <is>
          <t>https://www.amazon.com/s?k=MG90S+metal+gear+2+pack</t>
        </is>
      </c>
      <c r="AA30" s="30" t="inlineStr"/>
      <c r="AB30" s="28">
        <f>IF(AND(S30="Amazon",ISNUMBER(M30),W30&gt;0),ROUNDUP(G30/N30,0)*M30,0)</f>
        <v/>
      </c>
      <c r="AC30" s="28">
        <f>IF(AND(ISNUMBER(P30),ISNUMBER(Q30)),MIN(P30,Q30),IF(ISNUMBER(P30),P30,IF(ISNUMBER(Q30),Q30,0)))</f>
        <v/>
      </c>
    </row>
    <row r="31">
      <c r="A31" s="22" t="inlineStr">
        <is>
          <t>CAB-04</t>
        </is>
      </c>
      <c r="B31" s="23" t="inlineStr">
        <is>
          <t>Cabezal de disco</t>
        </is>
      </c>
      <c r="C31" s="24" t="inlineStr">
        <is>
          <t>Plumón Sharpie punta fina</t>
        </is>
      </c>
      <c r="D31" s="24" t="inlineStr">
        <is>
          <t>Negro</t>
        </is>
      </c>
      <c r="E31" s="24" t="inlineStr">
        <is>
          <t>Trazar la curva paramétrica</t>
        </is>
      </c>
      <c r="F31" s="23" t="inlineStr">
        <is>
          <t>MathBot</t>
        </is>
      </c>
      <c r="G31" s="25" t="n">
        <v>2</v>
      </c>
      <c r="H31" s="23" t="inlineStr">
        <is>
          <t>Obligatorio</t>
        </is>
      </c>
      <c r="I31" s="24" t="inlineStr">
        <is>
          <t>Librería o supermercado</t>
        </is>
      </c>
      <c r="J31" s="26" t="n">
        <v>1.5</v>
      </c>
      <c r="K31" s="25" t="n">
        <v>1</v>
      </c>
      <c r="L31" s="24" t="inlineStr">
        <is>
          <t>Estimado</t>
        </is>
      </c>
      <c r="M31" s="26" t="n">
        <v>1.97</v>
      </c>
      <c r="N31" s="25" t="n">
        <v>2</v>
      </c>
      <c r="O31" s="27" t="n">
        <v>0.05</v>
      </c>
      <c r="P31" s="28">
        <f>IF(J31="","",ROUNDUP(G31/K31,0)*J31*(1-IF(ISNUMBER(SEARCH("Casa Rivas",I31)),DescCasaRivas,0)))</f>
        <v/>
      </c>
      <c r="Q31" s="28">
        <f>IF(M31="","",ROUNDUP(G31/N31,0)*(M31*(1+TasaVentasEEUU)+O31*FleteLb*(1+IVA)+M31*(1+RecargoCIF)*IVA))</f>
        <v/>
      </c>
      <c r="R31" s="23">
        <f>IF(AND(ISNUMBER(P31),ISNUMBER(Q31)),IF(P31&lt;=Q31,"Local","Amazon"),IF(ISNUMBER(P31),"Local",IF(ISNUMBER(Q31),"Amazon","—")))</f>
        <v/>
      </c>
      <c r="S31" s="25" t="inlineStr">
        <is>
          <t>Local</t>
        </is>
      </c>
      <c r="T31" s="28">
        <f>IF(S31="Amazon",IF(ISNUMBER(Q31),Q31,0),IF(ISNUMBER(P31),P31,0))</f>
        <v/>
      </c>
      <c r="U31" s="25" t="inlineStr">
        <is>
          <t>Por comprar</t>
        </is>
      </c>
      <c r="V31" s="28">
        <f>SUMIFS('Registro de gastos'!$F$10:$F$400,'Registro de gastos'!$B$10:$B$400,A31)</f>
        <v/>
      </c>
      <c r="W31" s="28">
        <f>IF(OR(U31="Por comprar",U31="Cotizado"),MAX(T31-V31,0),0)</f>
        <v/>
      </c>
      <c r="X31" s="28">
        <f>V31+W31</f>
        <v/>
      </c>
      <c r="Y31" s="25" t="n"/>
      <c r="Z31" s="29" t="inlineStr">
        <is>
          <t>https://www.amazon.com/dp/B00144862U</t>
        </is>
      </c>
      <c r="AA31" s="30" t="inlineStr"/>
      <c r="AB31" s="28">
        <f>IF(AND(S31="Amazon",ISNUMBER(M31),W31&gt;0),ROUNDUP(G31/N31,0)*M31,0)</f>
        <v/>
      </c>
      <c r="AC31" s="28">
        <f>IF(AND(ISNUMBER(P31),ISNUMBER(Q31)),MIN(P31,Q31),IF(ISNUMBER(P31),P31,IF(ISNUMBER(Q31),Q31,0)))</f>
        <v/>
      </c>
    </row>
    <row r="32">
      <c r="A32" s="22" t="inlineStr">
        <is>
          <t>CAB-05</t>
        </is>
      </c>
      <c r="B32" s="23" t="inlineStr">
        <is>
          <t>Cabezal de disco</t>
        </is>
      </c>
      <c r="C32" s="24" t="inlineStr">
        <is>
          <t>Resorte de compresión</t>
        </is>
      </c>
      <c r="D32" s="24" t="inlineStr">
        <is>
          <t>Ø15–16 × 30 mm, alambre 0.5–0.6 (Ø int. ≥ 13.5, sólido ≤ 6 mm)</t>
        </is>
      </c>
      <c r="E32" s="24" t="inlineStr">
        <is>
          <t>Porta-plumón con amortiguación</t>
        </is>
      </c>
      <c r="F32" s="23" t="inlineStr">
        <is>
          <t>MathBot</t>
        </is>
      </c>
      <c r="G32" s="25" t="n">
        <v>1</v>
      </c>
      <c r="H32" s="23" t="inlineStr">
        <is>
          <t>Obligatorio</t>
        </is>
      </c>
      <c r="I32" s="24" t="inlineStr">
        <is>
          <t>Vidrí / Freund</t>
        </is>
      </c>
      <c r="J32" s="26" t="n">
        <v>0.5</v>
      </c>
      <c r="K32" s="25" t="n">
        <v>1</v>
      </c>
      <c r="L32" s="24" t="inlineStr">
        <is>
          <t>Estimado</t>
        </is>
      </c>
      <c r="M32" s="26" t="n">
        <v>6.58</v>
      </c>
      <c r="N32" s="25" t="n">
        <v>1</v>
      </c>
      <c r="O32" s="27" t="n">
        <v>0.5</v>
      </c>
      <c r="P32" s="28">
        <f>IF(J32="","",ROUNDUP(G32/K32,0)*J32*(1-IF(ISNUMBER(SEARCH("Casa Rivas",I32)),DescCasaRivas,0)))</f>
        <v/>
      </c>
      <c r="Q32" s="28">
        <f>IF(M32="","",ROUNDUP(G32/N32,0)*(M32*(1+TasaVentasEEUU)+O32*FleteLb*(1+IVA)+M32*(1+RecargoCIF)*IVA))</f>
        <v/>
      </c>
      <c r="R32" s="23">
        <f>IF(AND(ISNUMBER(P32),ISNUMBER(Q32)),IF(P32&lt;=Q32,"Local","Amazon"),IF(ISNUMBER(P32),"Local",IF(ISNUMBER(Q32),"Amazon","—")))</f>
        <v/>
      </c>
      <c r="S32" s="25" t="inlineStr">
        <is>
          <t>Local</t>
        </is>
      </c>
      <c r="T32" s="28">
        <f>IF(S32="Amazon",IF(ISNUMBER(Q32),Q32,0),IF(ISNUMBER(P32),P32,0))</f>
        <v/>
      </c>
      <c r="U32" s="25" t="inlineStr">
        <is>
          <t>Por comprar</t>
        </is>
      </c>
      <c r="V32" s="28">
        <f>SUMIFS('Registro de gastos'!$F$10:$F$400,'Registro de gastos'!$B$10:$B$400,A32)</f>
        <v/>
      </c>
      <c r="W32" s="28">
        <f>IF(OR(U32="Por comprar",U32="Cotizado"),MAX(T32-V32,0),0)</f>
        <v/>
      </c>
      <c r="X32" s="28">
        <f>V32+W32</f>
        <v/>
      </c>
      <c r="Y32" s="25" t="n"/>
      <c r="Z32" s="29" t="inlineStr">
        <is>
          <t>https://www.amazon.com/dp/B0F47T44GH</t>
        </is>
      </c>
      <c r="AA32" s="30" t="inlineStr">
        <is>
          <t>Va alrededor del plumón (Ø12): el de Ø10–12 × 20 no entra ni da 18 mm de levante. Ver Cabezal disco/README.md.</t>
        </is>
      </c>
      <c r="AB32" s="28">
        <f>IF(AND(S32="Amazon",ISNUMBER(M32),W32&gt;0),ROUNDUP(G32/N32,0)*M32,0)</f>
        <v/>
      </c>
      <c r="AC32" s="28">
        <f>IF(AND(ISNUMBER(P32),ISNUMBER(Q32)),MIN(P32,Q32),IF(ISNUMBER(P32),P32,IF(ISNUMBER(Q32),Q32,0)))</f>
        <v/>
      </c>
    </row>
    <row r="33">
      <c r="A33" s="22" t="inlineStr">
        <is>
          <t>CAB-06</t>
        </is>
      </c>
      <c r="B33" s="23" t="inlineStr">
        <is>
          <t>Cabezal de disco</t>
        </is>
      </c>
      <c r="C33" s="24" t="inlineStr">
        <is>
          <t>Tornillería del cabezal A v3</t>
        </is>
      </c>
      <c r="D33" s="24" t="inlineStr">
        <is>
          <t>4 × M4×35 + tuerca + arandela + fijador de rosca; M3: 4×10, 1×12, 3×20, 1×35, 3×16 avellanados + 11 tuercas</t>
        </is>
      </c>
      <c r="E33" s="24" t="inlineStr">
        <is>
          <t>Placa + separador al J3 Coupler y montaje de las herramientas</t>
        </is>
      </c>
      <c r="F33" s="23" t="inlineStr">
        <is>
          <t>MathBot</t>
        </is>
      </c>
      <c r="G33" s="25" t="n">
        <v>1</v>
      </c>
      <c r="H33" s="23" t="inlineStr">
        <is>
          <t>Obligatorio</t>
        </is>
      </c>
      <c r="I33" s="24" t="inlineStr">
        <is>
          <t>Vidrí</t>
        </is>
      </c>
      <c r="J33" s="26" t="n">
        <v>0.6</v>
      </c>
      <c r="K33" s="25" t="n">
        <v>1</v>
      </c>
      <c r="L33" s="24" t="inlineStr">
        <is>
          <t>Estimado</t>
        </is>
      </c>
      <c r="M33" s="26" t="n"/>
      <c r="N33" s="25" t="n"/>
      <c r="O33" s="27" t="n"/>
      <c r="P33" s="28">
        <f>IF(J33="","",ROUNDUP(G33/K33,0)*J33*(1-IF(ISNUMBER(SEARCH("Casa Rivas",I33)),DescCasaRivas,0)))</f>
        <v/>
      </c>
      <c r="Q33" s="28">
        <f>IF(M33="","",ROUNDUP(G33/N33,0)*(M33*(1+TasaVentasEEUU)+O33*FleteLb*(1+IVA)+M33*(1+RecargoCIF)*IVA))</f>
        <v/>
      </c>
      <c r="R33" s="23">
        <f>IF(AND(ISNUMBER(P33),ISNUMBER(Q33)),IF(P33&lt;=Q33,"Local","Amazon"),IF(ISNUMBER(P33),"Local",IF(ISNUMBER(Q33),"Amazon","—")))</f>
        <v/>
      </c>
      <c r="S33" s="25" t="inlineStr">
        <is>
          <t>Local</t>
        </is>
      </c>
      <c r="T33" s="28">
        <f>IF(S33="Amazon",IF(ISNUMBER(Q33),Q33,0),IF(ISNUMBER(P33),P33,0))</f>
        <v/>
      </c>
      <c r="U33" s="25" t="inlineStr">
        <is>
          <t>Por comprar</t>
        </is>
      </c>
      <c r="V33" s="28">
        <f>SUMIFS('Registro de gastos'!$F$10:$F$400,'Registro de gastos'!$B$10:$B$400,A33)</f>
        <v/>
      </c>
      <c r="W33" s="28">
        <f>IF(OR(U33="Por comprar",U33="Cotizado"),MAX(T33-V33,0),0)</f>
        <v/>
      </c>
      <c r="X33" s="28">
        <f>V33+W33</f>
        <v/>
      </c>
      <c r="Y33" s="25" t="n"/>
      <c r="Z33" s="23" t="n"/>
      <c r="AA33" s="30" t="inlineStr">
        <is>
          <t>El separador del electroimán ahora es impreso (hoja Impresión 3D). Lista por pieza en BRAZO SCARA/DISEÑO FINAL/Cabezal disco/README.md.</t>
        </is>
      </c>
      <c r="AB33" s="28">
        <f>IF(AND(S33="Amazon",ISNUMBER(M33),W33&gt;0),ROUNDUP(G33/N33,0)*M33,0)</f>
        <v/>
      </c>
      <c r="AC33" s="28">
        <f>IF(AND(ISNUMBER(P33),ISNUMBER(Q33)),MIN(P33,Q33),IF(ISNUMBER(P33),P33,IF(ISNUMBER(Q33),Q33,0)))</f>
        <v/>
      </c>
    </row>
    <row r="34">
      <c r="A34" s="22" t="inlineStr">
        <is>
          <t>MB-01</t>
        </is>
      </c>
      <c r="B34" s="23" t="inlineStr">
        <is>
          <t>Electrónica MathBot</t>
        </is>
      </c>
      <c r="C34" s="24" t="inlineStr">
        <is>
          <t>MOSFET IRLZ44N + resistencias 220 Ω / 10 kΩ</t>
        </is>
      </c>
      <c r="D34" s="24" t="inlineStr">
        <is>
          <t>Nivel lógico</t>
        </is>
      </c>
      <c r="E34" s="24" t="inlineStr">
        <is>
          <t>Encender el electroimán desde D24</t>
        </is>
      </c>
      <c r="F34" s="23" t="inlineStr">
        <is>
          <t>MathBot</t>
        </is>
      </c>
      <c r="G34" s="25" t="n">
        <v>1</v>
      </c>
      <c r="H34" s="23" t="inlineStr">
        <is>
          <t>Obligatorio</t>
        </is>
      </c>
      <c r="I34" s="24" t="inlineStr">
        <is>
          <t>Casa Rivas</t>
        </is>
      </c>
      <c r="J34" s="26" t="n">
        <v>1.5</v>
      </c>
      <c r="K34" s="25" t="n">
        <v>1</v>
      </c>
      <c r="L34" s="24" t="inlineStr">
        <is>
          <t>Estimado (hay en el país)</t>
        </is>
      </c>
      <c r="M34" s="26" t="n">
        <v>9.49</v>
      </c>
      <c r="N34" s="25" t="n">
        <v>1</v>
      </c>
      <c r="O34" s="27" t="n">
        <v>0.1</v>
      </c>
      <c r="P34" s="28">
        <f>IF(J34="","",ROUNDUP(G34/K34,0)*J34*(1-IF(ISNUMBER(SEARCH("Casa Rivas",I34)),DescCasaRivas,0)))</f>
        <v/>
      </c>
      <c r="Q34" s="28">
        <f>IF(M34="","",ROUNDUP(G34/N34,0)*(M34*(1+TasaVentasEEUU)+O34*FleteLb*(1+IVA)+M34*(1+RecargoCIF)*IVA))</f>
        <v/>
      </c>
      <c r="R34" s="23">
        <f>IF(AND(ISNUMBER(P34),ISNUMBER(Q34)),IF(P34&lt;=Q34,"Local","Amazon"),IF(ISNUMBER(P34),"Local",IF(ISNUMBER(Q34),"Amazon","—")))</f>
        <v/>
      </c>
      <c r="S34" s="25" t="inlineStr">
        <is>
          <t>Local</t>
        </is>
      </c>
      <c r="T34" s="28">
        <f>IF(S34="Amazon",IF(ISNUMBER(Q34),Q34,0),IF(ISNUMBER(P34),P34,0))</f>
        <v/>
      </c>
      <c r="U34" s="25" t="inlineStr">
        <is>
          <t>Por comprar</t>
        </is>
      </c>
      <c r="V34" s="28">
        <f>SUMIFS('Registro de gastos'!$F$10:$F$400,'Registro de gastos'!$B$10:$B$400,A34)</f>
        <v/>
      </c>
      <c r="W34" s="28">
        <f>IF(OR(U34="Por comprar",U34="Cotizado"),MAX(T34-V34,0),0)</f>
        <v/>
      </c>
      <c r="X34" s="28">
        <f>V34+W34</f>
        <v/>
      </c>
      <c r="Y34" s="25" t="n"/>
      <c r="Z34" s="29" t="inlineStr">
        <is>
          <t>https://www.amazon.com/dp/B088NH81S9</t>
        </is>
      </c>
      <c r="AA34" s="30" t="inlineStr">
        <is>
          <t>Alternativa ya armada: módulo D4184 (Amazon).</t>
        </is>
      </c>
      <c r="AB34" s="28">
        <f>IF(AND(S34="Amazon",ISNUMBER(M34),W34&gt;0),ROUNDUP(G34/N34,0)*M34,0)</f>
        <v/>
      </c>
      <c r="AC34" s="28">
        <f>IF(AND(ISNUMBER(P34),ISNUMBER(Q34)),MIN(P34,Q34),IF(ISNUMBER(P34),P34,IF(ISNUMBER(Q34),Q34,0)))</f>
        <v/>
      </c>
    </row>
    <row r="35">
      <c r="A35" s="22" t="inlineStr">
        <is>
          <t>MB-02</t>
        </is>
      </c>
      <c r="B35" s="23" t="inlineStr">
        <is>
          <t>Electrónica MathBot</t>
        </is>
      </c>
      <c r="C35" s="24" t="inlineStr">
        <is>
          <t>Diodo 1N5819 o 1N4007</t>
        </is>
      </c>
      <c r="D35" s="24" t="inlineStr"/>
      <c r="E35" s="24" t="inlineStr">
        <is>
          <t>Flyback del electroimán</t>
        </is>
      </c>
      <c r="F35" s="23" t="inlineStr">
        <is>
          <t>MathBot</t>
        </is>
      </c>
      <c r="G35" s="25" t="n">
        <v>2</v>
      </c>
      <c r="H35" s="23" t="inlineStr">
        <is>
          <t>Obligatorio</t>
        </is>
      </c>
      <c r="I35" s="24" t="inlineStr">
        <is>
          <t>Casa Rivas</t>
        </is>
      </c>
      <c r="J35" s="26" t="n">
        <v>0.15</v>
      </c>
      <c r="K35" s="25" t="n">
        <v>1</v>
      </c>
      <c r="L35" s="24" t="inlineStr">
        <is>
          <t>Estimado</t>
        </is>
      </c>
      <c r="M35" s="26" t="n">
        <v>7.99</v>
      </c>
      <c r="N35" s="25" t="n">
        <v>100</v>
      </c>
      <c r="O35" s="27" t="n">
        <v>0.1</v>
      </c>
      <c r="P35" s="28">
        <f>IF(J35="","",ROUNDUP(G35/K35,0)*J35*(1-IF(ISNUMBER(SEARCH("Casa Rivas",I35)),DescCasaRivas,0)))</f>
        <v/>
      </c>
      <c r="Q35" s="28">
        <f>IF(M35="","",ROUNDUP(G35/N35,0)*(M35*(1+TasaVentasEEUU)+O35*FleteLb*(1+IVA)+M35*(1+RecargoCIF)*IVA))</f>
        <v/>
      </c>
      <c r="R35" s="23">
        <f>IF(AND(ISNUMBER(P35),ISNUMBER(Q35)),IF(P35&lt;=Q35,"Local","Amazon"),IF(ISNUMBER(P35),"Local",IF(ISNUMBER(Q35),"Amazon","—")))</f>
        <v/>
      </c>
      <c r="S35" s="25" t="inlineStr">
        <is>
          <t>Local</t>
        </is>
      </c>
      <c r="T35" s="28">
        <f>IF(S35="Amazon",IF(ISNUMBER(Q35),Q35,0),IF(ISNUMBER(P35),P35,0))</f>
        <v/>
      </c>
      <c r="U35" s="25" t="inlineStr">
        <is>
          <t>Por comprar</t>
        </is>
      </c>
      <c r="V35" s="28">
        <f>SUMIFS('Registro de gastos'!$F$10:$F$400,'Registro de gastos'!$B$10:$B$400,A35)</f>
        <v/>
      </c>
      <c r="W35" s="28">
        <f>IF(OR(U35="Por comprar",U35="Cotizado"),MAX(T35-V35,0),0)</f>
        <v/>
      </c>
      <c r="X35" s="28">
        <f>V35+W35</f>
        <v/>
      </c>
      <c r="Y35" s="25" t="n"/>
      <c r="Z35" s="29" t="inlineStr">
        <is>
          <t>https://www.amazon.com/dp/B079KG1TN2</t>
        </is>
      </c>
      <c r="AA35" s="30" t="inlineStr"/>
      <c r="AB35" s="28">
        <f>IF(AND(S35="Amazon",ISNUMBER(M35),W35&gt;0),ROUNDUP(G35/N35,0)*M35,0)</f>
        <v/>
      </c>
      <c r="AC35" s="28">
        <f>IF(AND(ISNUMBER(P35),ISNUMBER(Q35)),MIN(P35,Q35),IF(ISNUMBER(P35),P35,IF(ISNUMBER(Q35),Q35,0)))</f>
        <v/>
      </c>
    </row>
    <row r="36">
      <c r="A36" s="22" t="inlineStr">
        <is>
          <t>MB-03</t>
        </is>
      </c>
      <c r="B36" s="23" t="inlineStr">
        <is>
          <t>Electrónica MathBot</t>
        </is>
      </c>
      <c r="C36" s="24" t="inlineStr">
        <is>
          <t>Optoacoplador PC817 + resistencias</t>
        </is>
      </c>
      <c r="D36" s="24" t="inlineStr"/>
      <c r="E36" s="24" t="inlineStr">
        <is>
          <t>Llevar la señal de 12 V del sensor a D22</t>
        </is>
      </c>
      <c r="F36" s="23" t="inlineStr">
        <is>
          <t>MathBot</t>
        </is>
      </c>
      <c r="G36" s="25" t="n">
        <v>1</v>
      </c>
      <c r="H36" s="23" t="inlineStr">
        <is>
          <t>Obligatorio</t>
        </is>
      </c>
      <c r="I36" s="24" t="inlineStr">
        <is>
          <t>Casa Rivas</t>
        </is>
      </c>
      <c r="J36" s="26" t="n">
        <v>0.6</v>
      </c>
      <c r="K36" s="25" t="n">
        <v>1</v>
      </c>
      <c r="L36" s="24" t="inlineStr">
        <is>
          <t>Estimado</t>
        </is>
      </c>
      <c r="M36" s="26" t="n">
        <v>6.99</v>
      </c>
      <c r="N36" s="25" t="n">
        <v>1</v>
      </c>
      <c r="O36" s="27" t="n">
        <v>0.1</v>
      </c>
      <c r="P36" s="28">
        <f>IF(J36="","",ROUNDUP(G36/K36,0)*J36*(1-IF(ISNUMBER(SEARCH("Casa Rivas",I36)),DescCasaRivas,0)))</f>
        <v/>
      </c>
      <c r="Q36" s="28">
        <f>IF(M36="","",ROUNDUP(G36/N36,0)*(M36*(1+TasaVentasEEUU)+O36*FleteLb*(1+IVA)+M36*(1+RecargoCIF)*IVA))</f>
        <v/>
      </c>
      <c r="R36" s="23">
        <f>IF(AND(ISNUMBER(P36),ISNUMBER(Q36)),IF(P36&lt;=Q36,"Local","Amazon"),IF(ISNUMBER(P36),"Local",IF(ISNUMBER(Q36),"Amazon","—")))</f>
        <v/>
      </c>
      <c r="S36" s="25" t="inlineStr">
        <is>
          <t>Local</t>
        </is>
      </c>
      <c r="T36" s="28">
        <f>IF(S36="Amazon",IF(ISNUMBER(Q36),Q36,0),IF(ISNUMBER(P36),P36,0))</f>
        <v/>
      </c>
      <c r="U36" s="25" t="inlineStr">
        <is>
          <t>Por comprar</t>
        </is>
      </c>
      <c r="V36" s="28">
        <f>SUMIFS('Registro de gastos'!$F$10:$F$400,'Registro de gastos'!$B$10:$B$400,A36)</f>
        <v/>
      </c>
      <c r="W36" s="28">
        <f>IF(OR(U36="Por comprar",U36="Cotizado"),MAX(T36-V36,0),0)</f>
        <v/>
      </c>
      <c r="X36" s="28">
        <f>V36+W36</f>
        <v/>
      </c>
      <c r="Y36" s="25" t="n"/>
      <c r="Z36" s="29" t="inlineStr">
        <is>
          <t>https://www.amazon.com/dp/B0B5383L69</t>
        </is>
      </c>
      <c r="AA36" s="30" t="inlineStr">
        <is>
          <t>Amazon: módulo armado NOYITO.</t>
        </is>
      </c>
      <c r="AB36" s="28">
        <f>IF(AND(S36="Amazon",ISNUMBER(M36),W36&gt;0),ROUNDUP(G36/N36,0)*M36,0)</f>
        <v/>
      </c>
      <c r="AC36" s="28">
        <f>IF(AND(ISNUMBER(P36),ISNUMBER(Q36)),MIN(P36,Q36),IF(ISNUMBER(P36),P36,IF(ISNUMBER(Q36),Q36,0)))</f>
        <v/>
      </c>
    </row>
    <row r="37">
      <c r="A37" s="22" t="inlineStr">
        <is>
          <t>MB-04</t>
        </is>
      </c>
      <c r="B37" s="23" t="inlineStr">
        <is>
          <t>Electrónica MathBot</t>
        </is>
      </c>
      <c r="C37" s="24" t="inlineStr">
        <is>
          <t>Convertidor buck LM2596</t>
        </is>
      </c>
      <c r="D37" s="24" t="inlineStr">
        <is>
          <t>12 → 6 V, 3 A</t>
        </is>
      </c>
      <c r="E37" s="24" t="inlineStr">
        <is>
          <t>Alimentar el servo del cabezal</t>
        </is>
      </c>
      <c r="F37" s="23" t="inlineStr">
        <is>
          <t>MathBot</t>
        </is>
      </c>
      <c r="G37" s="25" t="n">
        <v>1</v>
      </c>
      <c r="H37" s="23" t="inlineStr">
        <is>
          <t>Obligatorio</t>
        </is>
      </c>
      <c r="I37" s="24" t="inlineStr">
        <is>
          <t>Casa Rivas / ArduStore SV</t>
        </is>
      </c>
      <c r="J37" s="26" t="n">
        <v>4</v>
      </c>
      <c r="K37" s="25" t="n">
        <v>1</v>
      </c>
      <c r="L37" s="24" t="inlineStr">
        <is>
          <t>Estimado</t>
        </is>
      </c>
      <c r="M37" s="26" t="n">
        <v>7.99</v>
      </c>
      <c r="N37" s="25" t="n">
        <v>5</v>
      </c>
      <c r="O37" s="27" t="n">
        <v>0.2</v>
      </c>
      <c r="P37" s="28">
        <f>IF(J37="","",ROUNDUP(G37/K37,0)*J37*(1-IF(ISNUMBER(SEARCH("Casa Rivas",I37)),DescCasaRivas,0)))</f>
        <v/>
      </c>
      <c r="Q37" s="28">
        <f>IF(M37="","",ROUNDUP(G37/N37,0)*(M37*(1+TasaVentasEEUU)+O37*FleteLb*(1+IVA)+M37*(1+RecargoCIF)*IVA))</f>
        <v/>
      </c>
      <c r="R37" s="23">
        <f>IF(AND(ISNUMBER(P37),ISNUMBER(Q37)),IF(P37&lt;=Q37,"Local","Amazon"),IF(ISNUMBER(P37),"Local",IF(ISNUMBER(Q37),"Amazon","—")))</f>
        <v/>
      </c>
      <c r="S37" s="25" t="inlineStr">
        <is>
          <t>Local</t>
        </is>
      </c>
      <c r="T37" s="28">
        <f>IF(S37="Amazon",IF(ISNUMBER(Q37),Q37,0),IF(ISNUMBER(P37),P37,0))</f>
        <v/>
      </c>
      <c r="U37" s="25" t="inlineStr">
        <is>
          <t>Por comprar</t>
        </is>
      </c>
      <c r="V37" s="28">
        <f>SUMIFS('Registro de gastos'!$F$10:$F$400,'Registro de gastos'!$B$10:$B$400,A37)</f>
        <v/>
      </c>
      <c r="W37" s="28">
        <f>IF(OR(U37="Por comprar",U37="Cotizado"),MAX(T37-V37,0),0)</f>
        <v/>
      </c>
      <c r="X37" s="28">
        <f>V37+W37</f>
        <v/>
      </c>
      <c r="Y37" s="25" t="n"/>
      <c r="Z37" s="29" t="inlineStr">
        <is>
          <t>https://www.amazon.com/dp/B0DBVYP91F</t>
        </is>
      </c>
      <c r="AA37" s="30" t="inlineStr"/>
      <c r="AB37" s="28">
        <f>IF(AND(S37="Amazon",ISNUMBER(M37),W37&gt;0),ROUNDUP(G37/N37,0)*M37,0)</f>
        <v/>
      </c>
      <c r="AC37" s="28">
        <f>IF(AND(ISNUMBER(P37),ISNUMBER(Q37)),MIN(P37,Q37),IF(ISNUMBER(P37),P37,IF(ISNUMBER(Q37),Q37,0)))</f>
        <v/>
      </c>
    </row>
    <row r="38">
      <c r="A38" s="22" t="inlineStr">
        <is>
          <t>MB-05</t>
        </is>
      </c>
      <c r="B38" s="23" t="inlineStr">
        <is>
          <t>Electrónica MathBot</t>
        </is>
      </c>
      <c r="C38" s="24" t="inlineStr">
        <is>
          <t>Placa perforada 5 × 7 cm + borneras + headers</t>
        </is>
      </c>
      <c r="D38" s="24" t="inlineStr"/>
      <c r="E38" s="24" t="inlineStr">
        <is>
          <t>Montar la interfaz sobre la base</t>
        </is>
      </c>
      <c r="F38" s="23" t="inlineStr">
        <is>
          <t>MathBot</t>
        </is>
      </c>
      <c r="G38" s="25" t="n">
        <v>1</v>
      </c>
      <c r="H38" s="23" t="inlineStr">
        <is>
          <t>Obligatorio</t>
        </is>
      </c>
      <c r="I38" s="24" t="inlineStr">
        <is>
          <t>Casa Rivas</t>
        </is>
      </c>
      <c r="J38" s="26" t="n">
        <v>2.5</v>
      </c>
      <c r="K38" s="25" t="n">
        <v>1</v>
      </c>
      <c r="L38" s="24" t="inlineStr">
        <is>
          <t>Estimado</t>
        </is>
      </c>
      <c r="M38" s="26" t="n"/>
      <c r="N38" s="25" t="n"/>
      <c r="O38" s="27" t="n"/>
      <c r="P38" s="28">
        <f>IF(J38="","",ROUNDUP(G38/K38,0)*J38*(1-IF(ISNUMBER(SEARCH("Casa Rivas",I38)),DescCasaRivas,0)))</f>
        <v/>
      </c>
      <c r="Q38" s="28">
        <f>IF(M38="","",ROUNDUP(G38/N38,0)*(M38*(1+TasaVentasEEUU)+O38*FleteLb*(1+IVA)+M38*(1+RecargoCIF)*IVA))</f>
        <v/>
      </c>
      <c r="R38" s="23">
        <f>IF(AND(ISNUMBER(P38),ISNUMBER(Q38)),IF(P38&lt;=Q38,"Local","Amazon"),IF(ISNUMBER(P38),"Local",IF(ISNUMBER(Q38),"Amazon","—")))</f>
        <v/>
      </c>
      <c r="S38" s="25" t="inlineStr">
        <is>
          <t>Local</t>
        </is>
      </c>
      <c r="T38" s="28">
        <f>IF(S38="Amazon",IF(ISNUMBER(Q38),Q38,0),IF(ISNUMBER(P38),P38,0))</f>
        <v/>
      </c>
      <c r="U38" s="25" t="inlineStr">
        <is>
          <t>Por comprar</t>
        </is>
      </c>
      <c r="V38" s="28">
        <f>SUMIFS('Registro de gastos'!$F$10:$F$400,'Registro de gastos'!$B$10:$B$400,A38)</f>
        <v/>
      </c>
      <c r="W38" s="28">
        <f>IF(OR(U38="Por comprar",U38="Cotizado"),MAX(T38-V38,0),0)</f>
        <v/>
      </c>
      <c r="X38" s="28">
        <f>V38+W38</f>
        <v/>
      </c>
      <c r="Y38" s="25" t="n"/>
      <c r="Z38" s="23" t="n"/>
      <c r="AA38" s="30" t="inlineStr"/>
      <c r="AB38" s="28">
        <f>IF(AND(S38="Amazon",ISNUMBER(M38),W38&gt;0),ROUNDUP(G38/N38,0)*M38,0)</f>
        <v/>
      </c>
      <c r="AC38" s="28">
        <f>IF(AND(ISNUMBER(P38),ISNUMBER(Q38)),MIN(P38,Q38),IF(ISNUMBER(P38),P38,IF(ISNUMBER(Q38),Q38,0)))</f>
        <v/>
      </c>
    </row>
    <row r="39">
      <c r="A39" s="22" t="inlineStr">
        <is>
          <t>MB-06</t>
        </is>
      </c>
      <c r="B39" s="23" t="inlineStr">
        <is>
          <t>Electrónica MathBot</t>
        </is>
      </c>
      <c r="C39" s="24" t="inlineStr">
        <is>
          <t>Cable multiconductor 6–8 hilos, AWG 24</t>
        </is>
      </c>
      <c r="D39" s="24" t="inlineStr">
        <is>
          <t>Flexible, por metro</t>
        </is>
      </c>
      <c r="E39" s="24" t="inlineStr">
        <is>
          <t>Del cabezal a la base por los ejes huecos de J2 y J3</t>
        </is>
      </c>
      <c r="F39" s="23" t="inlineStr">
        <is>
          <t>MathBot</t>
        </is>
      </c>
      <c r="G39" s="25" t="n">
        <v>2</v>
      </c>
      <c r="H39" s="23" t="inlineStr">
        <is>
          <t>Obligatorio</t>
        </is>
      </c>
      <c r="I39" s="24" t="inlineStr">
        <is>
          <t>Vidrí / Casa Rivas (cable de alarma)</t>
        </is>
      </c>
      <c r="J39" s="26" t="n">
        <v>0.8</v>
      </c>
      <c r="K39" s="25" t="n">
        <v>1</v>
      </c>
      <c r="L39" s="24" t="inlineStr">
        <is>
          <t>Estimado</t>
        </is>
      </c>
      <c r="M39" s="26" t="n"/>
      <c r="N39" s="25" t="n"/>
      <c r="O39" s="27" t="n"/>
      <c r="P39" s="28">
        <f>IF(J39="","",ROUNDUP(G39/K39,0)*J39*(1-IF(ISNUMBER(SEARCH("Casa Rivas",I39)),DescCasaRivas,0)))</f>
        <v/>
      </c>
      <c r="Q39" s="28">
        <f>IF(M39="","",ROUNDUP(G39/N39,0)*(M39*(1+TasaVentasEEUU)+O39*FleteLb*(1+IVA)+M39*(1+RecargoCIF)*IVA))</f>
        <v/>
      </c>
      <c r="R39" s="23">
        <f>IF(AND(ISNUMBER(P39),ISNUMBER(Q39)),IF(P39&lt;=Q39,"Local","Amazon"),IF(ISNUMBER(P39),"Local",IF(ISNUMBER(Q39),"Amazon","—")))</f>
        <v/>
      </c>
      <c r="S39" s="25" t="inlineStr">
        <is>
          <t>Local</t>
        </is>
      </c>
      <c r="T39" s="28">
        <f>IF(S39="Amazon",IF(ISNUMBER(Q39),Q39,0),IF(ISNUMBER(P39),P39,0))</f>
        <v/>
      </c>
      <c r="U39" s="25" t="inlineStr">
        <is>
          <t>Por comprar</t>
        </is>
      </c>
      <c r="V39" s="28">
        <f>SUMIFS('Registro de gastos'!$F$10:$F$400,'Registro de gastos'!$B$10:$B$400,A39)</f>
        <v/>
      </c>
      <c r="W39" s="28">
        <f>IF(OR(U39="Por comprar",U39="Cotizado"),MAX(T39-V39,0),0)</f>
        <v/>
      </c>
      <c r="X39" s="28">
        <f>V39+W39</f>
        <v/>
      </c>
      <c r="Y39" s="25" t="n"/>
      <c r="Z39" s="23" t="n"/>
      <c r="AA39" s="30" t="inlineStr"/>
      <c r="AB39" s="28">
        <f>IF(AND(S39="Amazon",ISNUMBER(M39),W39&gt;0),ROUNDUP(G39/N39,0)*M39,0)</f>
        <v/>
      </c>
      <c r="AC39" s="28">
        <f>IF(AND(ISNUMBER(P39),ISNUMBER(Q39)),MIN(P39,Q39),IF(ISNUMBER(P39),P39,IF(ISNUMBER(Q39),Q39,0)))</f>
        <v/>
      </c>
    </row>
    <row r="40">
      <c r="A40" s="22" t="inlineStr">
        <is>
          <t>MB-07</t>
        </is>
      </c>
      <c r="B40" s="23" t="inlineStr">
        <is>
          <t>Electrónica MathBot</t>
        </is>
      </c>
      <c r="C40" s="24" t="inlineStr">
        <is>
          <t>Pulsador NA (START) + hongo de paro NC</t>
        </is>
      </c>
      <c r="D40" s="24" t="inlineStr"/>
      <c r="E40" s="24" t="inlineStr">
        <is>
          <t>Iniciar la misión (D26) y PARO (D28)</t>
        </is>
      </c>
      <c r="F40" s="23" t="inlineStr">
        <is>
          <t>MathBot</t>
        </is>
      </c>
      <c r="G40" s="25" t="n">
        <v>1</v>
      </c>
      <c r="H40" s="23" t="inlineStr">
        <is>
          <t>Obligatorio</t>
        </is>
      </c>
      <c r="I40" s="24" t="inlineStr">
        <is>
          <t>Casa Rivas / Steren</t>
        </is>
      </c>
      <c r="J40" s="26" t="n"/>
      <c r="K40" s="25" t="n"/>
      <c r="L40" s="24" t="inlineStr">
        <is>
          <t>Cotizar</t>
        </is>
      </c>
      <c r="M40" s="26" t="n"/>
      <c r="N40" s="25" t="n"/>
      <c r="O40" s="27" t="n"/>
      <c r="P40" s="28">
        <f>IF(J40="","",ROUNDUP(G40/K40,0)*J40*(1-IF(ISNUMBER(SEARCH("Casa Rivas",I40)),DescCasaRivas,0)))</f>
        <v/>
      </c>
      <c r="Q40" s="28">
        <f>IF(M40="","",ROUNDUP(G40/N40,0)*(M40*(1+TasaVentasEEUU)+O40*FleteLb*(1+IVA)+M40*(1+RecargoCIF)*IVA))</f>
        <v/>
      </c>
      <c r="R40" s="23">
        <f>IF(AND(ISNUMBER(P40),ISNUMBER(Q40)),IF(P40&lt;=Q40,"Local","Amazon"),IF(ISNUMBER(P40),"Local",IF(ISNUMBER(Q40),"Amazon","—")))</f>
        <v/>
      </c>
      <c r="S40" s="25" t="inlineStr">
        <is>
          <t>Local</t>
        </is>
      </c>
      <c r="T40" s="28">
        <f>IF(S40="Amazon",IF(ISNUMBER(Q40),Q40,0),IF(ISNUMBER(P40),P40,0))</f>
        <v/>
      </c>
      <c r="U40" s="25" t="inlineStr">
        <is>
          <t>Por comprar</t>
        </is>
      </c>
      <c r="V40" s="28">
        <f>SUMIFS('Registro de gastos'!$F$10:$F$400,'Registro de gastos'!$B$10:$B$400,A40)</f>
        <v/>
      </c>
      <c r="W40" s="28">
        <f>IF(OR(U40="Por comprar",U40="Cotizado"),MAX(T40-V40,0),0)</f>
        <v/>
      </c>
      <c r="X40" s="28">
        <f>V40+W40</f>
        <v/>
      </c>
      <c r="Y40" s="25" t="n"/>
      <c r="Z40" s="23" t="n"/>
      <c r="AA40" s="30" t="inlineStr">
        <is>
          <t>El PARO solo es software (ver firmware/README.md).</t>
        </is>
      </c>
      <c r="AB40" s="28">
        <f>IF(AND(S40="Amazon",ISNUMBER(M40),W40&gt;0),ROUNDUP(G40/N40,0)*M40,0)</f>
        <v/>
      </c>
      <c r="AC40" s="28">
        <f>IF(AND(ISNUMBER(P40),ISNUMBER(Q40)),MIN(P40,Q40),IF(ISNUMBER(P40),P40,IF(ISNUMBER(Q40),Q40,0)))</f>
        <v/>
      </c>
    </row>
    <row r="41">
      <c r="A41" s="22" t="inlineStr">
        <is>
          <t>MB-08</t>
        </is>
      </c>
      <c r="B41" s="23" t="inlineStr">
        <is>
          <t>Electrónica MathBot</t>
        </is>
      </c>
      <c r="C41" s="24" t="inlineStr">
        <is>
          <t>3 LED (verde, amarillo, rojo) + buzzer + resistencias</t>
        </is>
      </c>
      <c r="D41" s="24" t="inlineStr">
        <is>
          <t>220 Ω para los LED; 10 kΩ / 3.3 kΩ para el divisor de 12 V</t>
        </is>
      </c>
      <c r="E41" s="24" t="inlineStr">
        <is>
          <t>Estado (D30–D34), aviso (D36) y monitor de 12 V (A8)</t>
        </is>
      </c>
      <c r="F41" s="23" t="inlineStr">
        <is>
          <t>MathBot</t>
        </is>
      </c>
      <c r="G41" s="25" t="n">
        <v>1</v>
      </c>
      <c r="H41" s="23" t="inlineStr">
        <is>
          <t>Recomendado</t>
        </is>
      </c>
      <c r="I41" s="24" t="inlineStr">
        <is>
          <t>Casa Rivas</t>
        </is>
      </c>
      <c r="J41" s="26" t="n"/>
      <c r="K41" s="25" t="n"/>
      <c r="L41" s="24" t="inlineStr">
        <is>
          <t>Cotizar</t>
        </is>
      </c>
      <c r="M41" s="26" t="n"/>
      <c r="N41" s="25" t="n"/>
      <c r="O41" s="27" t="n"/>
      <c r="P41" s="28">
        <f>IF(J41="","",ROUNDUP(G41/K41,0)*J41*(1-IF(ISNUMBER(SEARCH("Casa Rivas",I41)),DescCasaRivas,0)))</f>
        <v/>
      </c>
      <c r="Q41" s="28">
        <f>IF(M41="","",ROUNDUP(G41/N41,0)*(M41*(1+TasaVentasEEUU)+O41*FleteLb*(1+IVA)+M41*(1+RecargoCIF)*IVA))</f>
        <v/>
      </c>
      <c r="R41" s="23">
        <f>IF(AND(ISNUMBER(P41),ISNUMBER(Q41)),IF(P41&lt;=Q41,"Local","Amazon"),IF(ISNUMBER(P41),"Local",IF(ISNUMBER(Q41),"Amazon","—")))</f>
        <v/>
      </c>
      <c r="S41" s="25" t="inlineStr">
        <is>
          <t>Local</t>
        </is>
      </c>
      <c r="T41" s="28">
        <f>IF(S41="Amazon",IF(ISNUMBER(Q41),Q41,0),IF(ISNUMBER(P41),P41,0))</f>
        <v/>
      </c>
      <c r="U41" s="25" t="inlineStr">
        <is>
          <t>Por comprar</t>
        </is>
      </c>
      <c r="V41" s="28">
        <f>SUMIFS('Registro de gastos'!$F$10:$F$400,'Registro de gastos'!$B$10:$B$400,A41)</f>
        <v/>
      </c>
      <c r="W41" s="28">
        <f>IF(OR(U41="Por comprar",U41="Cotizado"),MAX(T41-V41,0),0)</f>
        <v/>
      </c>
      <c r="X41" s="28">
        <f>V41+W41</f>
        <v/>
      </c>
      <c r="Y41" s="25" t="n"/>
      <c r="Z41" s="23" t="n"/>
      <c r="AA41" s="30" t="inlineStr"/>
      <c r="AB41" s="28">
        <f>IF(AND(S41="Amazon",ISNUMBER(M41),W41&gt;0),ROUNDUP(G41/N41,0)*M41,0)</f>
        <v/>
      </c>
      <c r="AC41" s="28">
        <f>IF(AND(ISNUMBER(P41),ISNUMBER(Q41)),MIN(P41,Q41),IF(ISNUMBER(P41),P41,IF(ISNUMBER(Q41),Q41,0)))</f>
        <v/>
      </c>
    </row>
    <row r="42">
      <c r="A42" s="22" t="inlineStr">
        <is>
          <t>TOR-01</t>
        </is>
      </c>
      <c r="B42" s="23" t="inlineStr">
        <is>
          <t>Tornillería</t>
        </is>
      </c>
      <c r="C42" s="24" t="inlineStr">
        <is>
          <t>Surtido de tornillos Allen M3/M4/M5 + tuercas</t>
        </is>
      </c>
      <c r="D42" s="24" t="inlineStr">
        <is>
          <t>≈ 20 M3 × 8–16, 45–55 M4 × 16–30 y sus tuercas</t>
        </is>
      </c>
      <c r="E42" s="24" t="inlineStr">
        <is>
          <t>Tornillos chicos del brazo: motores, abrazaderas de varilla, tapas, placas Z y acoples</t>
        </is>
      </c>
      <c r="F42" s="23" t="inlineStr">
        <is>
          <t>HTM</t>
        </is>
      </c>
      <c r="G42" s="25" t="n">
        <v>1</v>
      </c>
      <c r="H42" s="23" t="inlineStr">
        <is>
          <t>Obligatorio</t>
        </is>
      </c>
      <c r="I42" s="24" t="inlineStr">
        <is>
          <t>Vidrí / Freund (por pieza)</t>
        </is>
      </c>
      <c r="J42" s="26" t="n">
        <v>15</v>
      </c>
      <c r="K42" s="25" t="n">
        <v>1</v>
      </c>
      <c r="L42" s="24" t="inlineStr">
        <is>
          <t>Estimado</t>
        </is>
      </c>
      <c r="M42" s="26" t="n">
        <v>22.99</v>
      </c>
      <c r="N42" s="25" t="n">
        <v>1</v>
      </c>
      <c r="O42" s="27" t="n">
        <v>2.5</v>
      </c>
      <c r="P42" s="28">
        <f>IF(J42="","",ROUNDUP(G42/K42,0)*J42*(1-IF(ISNUMBER(SEARCH("Casa Rivas",I42)),DescCasaRivas,0)))</f>
        <v/>
      </c>
      <c r="Q42" s="28">
        <f>IF(M42="","",ROUNDUP(G42/N42,0)*(M42*(1+TasaVentasEEUU)+O42*FleteLb*(1+IVA)+M42*(1+RecargoCIF)*IVA))</f>
        <v/>
      </c>
      <c r="R42" s="23">
        <f>IF(AND(ISNUMBER(P42),ISNUMBER(Q42)),IF(P42&lt;=Q42,"Local","Amazon"),IF(ISNUMBER(P42),"Local",IF(ISNUMBER(Q42),"Amazon","—")))</f>
        <v/>
      </c>
      <c r="S42" s="25" t="inlineStr">
        <is>
          <t>Local</t>
        </is>
      </c>
      <c r="T42" s="28">
        <f>IF(S42="Amazon",IF(ISNUMBER(Q42),Q42,0),IF(ISNUMBER(P42),P42,0))</f>
        <v/>
      </c>
      <c r="U42" s="25" t="inlineStr">
        <is>
          <t>Por comprar</t>
        </is>
      </c>
      <c r="V42" s="28">
        <f>SUMIFS('Registro de gastos'!$F$10:$F$400,'Registro de gastos'!$B$10:$B$400,A42)</f>
        <v/>
      </c>
      <c r="W42" s="28">
        <f>IF(OR(U42="Por comprar",U42="Cotizado"),MAX(T42-V42,0),0)</f>
        <v/>
      </c>
      <c r="X42" s="28">
        <f>V42+W42</f>
        <v/>
      </c>
      <c r="Y42" s="25" t="n"/>
      <c r="Z42" s="29" t="inlineStr">
        <is>
          <t>https://www.amazon.com/dp/B0FG2964F5</t>
        </is>
      </c>
      <c r="AA42" s="30" t="inlineStr">
        <is>
          <t>El artículo trae la lista en una imagen y el CAD no los modela; cantidades estimadas por los agujeros del CAD (Ø3.2 = M3, Ø4.1 = M4): 16 M3 × 8–12 (4 por NEMA), 4 M3 × 16 (tuerca del husillo T8), 16 M4 × 20 (8 abrazaderas de varilla), 6 M4 × 20 (J2 Coupler → brazo 2) y 20–30 M4 × 16–30 (tapas, placas Z, polea de J3). El surtido de Amazon cubre todo pero pesa 2.5 lb.</t>
        </is>
      </c>
      <c r="AB42" s="28">
        <f>IF(AND(S42="Amazon",ISNUMBER(M42),W42&gt;0),ROUNDUP(G42/N42,0)*M42,0)</f>
        <v/>
      </c>
      <c r="AC42" s="28">
        <f>IF(AND(ISNUMBER(P42),ISNUMBER(Q42)),MIN(P42,Q42),IF(ISNUMBER(P42),P42,IF(ISNUMBER(Q42),Q42,0)))</f>
        <v/>
      </c>
    </row>
    <row r="43">
      <c r="A43" s="22" t="inlineStr">
        <is>
          <t>TOR-02</t>
        </is>
      </c>
      <c r="B43" s="23" t="inlineStr">
        <is>
          <t>Tornillería</t>
        </is>
      </c>
      <c r="C43" s="24" t="inlineStr">
        <is>
          <t>Perno M4 × 60 + tuerca de seguridad</t>
        </is>
      </c>
      <c r="D43" s="24" t="inlineStr">
        <is>
          <t>DIN 912, tuerca con nylon</t>
        </is>
      </c>
      <c r="E43" s="24" t="inlineStr">
        <is>
          <t>Unir la polea de 110 dientes con el acople J1</t>
        </is>
      </c>
      <c r="F43" s="23" t="inlineStr">
        <is>
          <t>HTM</t>
        </is>
      </c>
      <c r="G43" s="25" t="n">
        <v>4</v>
      </c>
      <c r="H43" s="23" t="inlineStr">
        <is>
          <t>Obligatorio</t>
        </is>
      </c>
      <c r="I43" s="24" t="inlineStr">
        <is>
          <t>Vidrí</t>
        </is>
      </c>
      <c r="J43" s="26" t="n">
        <v>0.3</v>
      </c>
      <c r="K43" s="25" t="n">
        <v>1</v>
      </c>
      <c r="L43" s="24" t="inlineStr">
        <is>
          <t>Estimado</t>
        </is>
      </c>
      <c r="M43" s="26" t="n"/>
      <c r="N43" s="25" t="n"/>
      <c r="O43" s="27" t="n"/>
      <c r="P43" s="28">
        <f>IF(J43="","",ROUNDUP(G43/K43,0)*J43*(1-IF(ISNUMBER(SEARCH("Casa Rivas",I43)),DescCasaRivas,0)))</f>
        <v/>
      </c>
      <c r="Q43" s="28">
        <f>IF(M43="","",ROUNDUP(G43/N43,0)*(M43*(1+TasaVentasEEUU)+O43*FleteLb*(1+IVA)+M43*(1+RecargoCIF)*IVA))</f>
        <v/>
      </c>
      <c r="R43" s="23">
        <f>IF(AND(ISNUMBER(P43),ISNUMBER(Q43)),IF(P43&lt;=Q43,"Local","Amazon"),IF(ISNUMBER(P43),"Local",IF(ISNUMBER(Q43),"Amazon","—")))</f>
        <v/>
      </c>
      <c r="S43" s="25" t="inlineStr">
        <is>
          <t>Local</t>
        </is>
      </c>
      <c r="T43" s="28">
        <f>IF(S43="Amazon",IF(ISNUMBER(Q43),Q43,0),IF(ISNUMBER(P43),P43,0))</f>
        <v/>
      </c>
      <c r="U43" s="25" t="inlineStr">
        <is>
          <t>Por comprar</t>
        </is>
      </c>
      <c r="V43" s="28">
        <f>SUMIFS('Registro de gastos'!$F$10:$F$400,'Registro de gastos'!$B$10:$B$400,A43)</f>
        <v/>
      </c>
      <c r="W43" s="28">
        <f>IF(OR(U43="Por comprar",U43="Cotizado"),MAX(T43-V43,0),0)</f>
        <v/>
      </c>
      <c r="X43" s="28">
        <f>V43+W43</f>
        <v/>
      </c>
      <c r="Y43" s="25" t="n"/>
      <c r="Z43" s="23" t="n"/>
      <c r="AA43" s="30" t="inlineStr">
        <is>
          <t>Medida del CAD (M4 60mm - Bolts en J1). El texto del artículo decía M4 × 55.</t>
        </is>
      </c>
      <c r="AB43" s="28">
        <f>IF(AND(S43="Amazon",ISNUMBER(M43),W43&gt;0),ROUNDUP(G43/N43,0)*M43,0)</f>
        <v/>
      </c>
      <c r="AC43" s="28">
        <f>IF(AND(ISNUMBER(P43),ISNUMBER(Q43)),MIN(P43,Q43),IF(ISNUMBER(P43),P43,IF(ISNUMBER(Q43),Q43,0)))</f>
        <v/>
      </c>
    </row>
    <row r="44">
      <c r="A44" s="22" t="inlineStr">
        <is>
          <t>TOR-03</t>
        </is>
      </c>
      <c r="B44" s="23" t="inlineStr">
        <is>
          <t>Tornillería</t>
        </is>
      </c>
      <c r="C44" s="24" t="inlineStr">
        <is>
          <t>Perno M4 × 50 + tuerca de seguridad</t>
        </is>
      </c>
      <c r="D44" s="24" t="inlineStr">
        <is>
          <t>DIN 912, tuerca con nylon</t>
        </is>
      </c>
      <c r="E44" s="24" t="inlineStr">
        <is>
          <t>Unir la polea de 92 dientes con el acople J2</t>
        </is>
      </c>
      <c r="F44" s="23" t="inlineStr">
        <is>
          <t>HTM</t>
        </is>
      </c>
      <c r="G44" s="25" t="n">
        <v>4</v>
      </c>
      <c r="H44" s="23" t="inlineStr">
        <is>
          <t>Obligatorio</t>
        </is>
      </c>
      <c r="I44" s="24" t="inlineStr">
        <is>
          <t>Vidrí</t>
        </is>
      </c>
      <c r="J44" s="26" t="n">
        <v>0.3</v>
      </c>
      <c r="K44" s="25" t="n">
        <v>1</v>
      </c>
      <c r="L44" s="24" t="inlineStr">
        <is>
          <t>Estimado</t>
        </is>
      </c>
      <c r="M44" s="26" t="n"/>
      <c r="N44" s="25" t="n"/>
      <c r="O44" s="27" t="n"/>
      <c r="P44" s="28">
        <f>IF(J44="","",ROUNDUP(G44/K44,0)*J44*(1-IF(ISNUMBER(SEARCH("Casa Rivas",I44)),DescCasaRivas,0)))</f>
        <v/>
      </c>
      <c r="Q44" s="28">
        <f>IF(M44="","",ROUNDUP(G44/N44,0)*(M44*(1+TasaVentasEEUU)+O44*FleteLb*(1+IVA)+M44*(1+RecargoCIF)*IVA))</f>
        <v/>
      </c>
      <c r="R44" s="23">
        <f>IF(AND(ISNUMBER(P44),ISNUMBER(Q44)),IF(P44&lt;=Q44,"Local","Amazon"),IF(ISNUMBER(P44),"Local",IF(ISNUMBER(Q44),"Amazon","—")))</f>
        <v/>
      </c>
      <c r="S44" s="25" t="inlineStr">
        <is>
          <t>Local</t>
        </is>
      </c>
      <c r="T44" s="28">
        <f>IF(S44="Amazon",IF(ISNUMBER(Q44),Q44,0),IF(ISNUMBER(P44),P44,0))</f>
        <v/>
      </c>
      <c r="U44" s="25" t="inlineStr">
        <is>
          <t>Por comprar</t>
        </is>
      </c>
      <c r="V44" s="28">
        <f>SUMIFS('Registro de gastos'!$F$10:$F$400,'Registro de gastos'!$B$10:$B$400,A44)</f>
        <v/>
      </c>
      <c r="W44" s="28">
        <f>IF(OR(U44="Por comprar",U44="Cotizado"),MAX(T44-V44,0),0)</f>
        <v/>
      </c>
      <c r="X44" s="28">
        <f>V44+W44</f>
        <v/>
      </c>
      <c r="Y44" s="25" t="n"/>
      <c r="Z44" s="23" t="n"/>
      <c r="AA44" s="30" t="inlineStr">
        <is>
          <t>Medida del CAD (M4 50mm - Bolts en J2).</t>
        </is>
      </c>
      <c r="AB44" s="28">
        <f>IF(AND(S44="Amazon",ISNUMBER(M44),W44&gt;0),ROUNDUP(G44/N44,0)*M44,0)</f>
        <v/>
      </c>
      <c r="AC44" s="28">
        <f>IF(AND(ISNUMBER(P44),ISNUMBER(Q44)),MIN(P44,Q44),IF(ISNUMBER(P44),P44,IF(ISNUMBER(Q44),Q44,0)))</f>
        <v/>
      </c>
    </row>
    <row r="45">
      <c r="A45" s="22" t="inlineStr">
        <is>
          <t>TOR-04</t>
        </is>
      </c>
      <c r="B45" s="23" t="inlineStr">
        <is>
          <t>Tornillería</t>
        </is>
      </c>
      <c r="C45" s="24" t="inlineStr">
        <is>
          <t>Perno M8 × 45 + arandela + tuerca de seguridad</t>
        </is>
      </c>
      <c r="D45" s="24" t="inlineStr"/>
      <c r="E45" s="24" t="inlineStr">
        <is>
          <t>Eje de las poleas intermedias de J1 y J2 (1 c/u)</t>
        </is>
      </c>
      <c r="F45" s="23" t="inlineStr">
        <is>
          <t>HTM</t>
        </is>
      </c>
      <c r="G45" s="25" t="n">
        <v>2</v>
      </c>
      <c r="H45" s="23" t="inlineStr">
        <is>
          <t>Obligatorio</t>
        </is>
      </c>
      <c r="I45" s="24" t="inlineStr">
        <is>
          <t>Vidrí</t>
        </is>
      </c>
      <c r="J45" s="26" t="n">
        <v>0.75</v>
      </c>
      <c r="K45" s="25" t="n">
        <v>1</v>
      </c>
      <c r="L45" s="24" t="inlineStr">
        <is>
          <t>Estimado</t>
        </is>
      </c>
      <c r="M45" s="26" t="n"/>
      <c r="N45" s="25" t="n"/>
      <c r="O45" s="27" t="n"/>
      <c r="P45" s="28">
        <f>IF(J45="","",ROUNDUP(G45/K45,0)*J45*(1-IF(ISNUMBER(SEARCH("Casa Rivas",I45)),DescCasaRivas,0)))</f>
        <v/>
      </c>
      <c r="Q45" s="28">
        <f>IF(M45="","",ROUNDUP(G45/N45,0)*(M45*(1+TasaVentasEEUU)+O45*FleteLb*(1+IVA)+M45*(1+RecargoCIF)*IVA))</f>
        <v/>
      </c>
      <c r="R45" s="23">
        <f>IF(AND(ISNUMBER(P45),ISNUMBER(Q45)),IF(P45&lt;=Q45,"Local","Amazon"),IF(ISNUMBER(P45),"Local",IF(ISNUMBER(Q45),"Amazon","—")))</f>
        <v/>
      </c>
      <c r="S45" s="25" t="inlineStr">
        <is>
          <t>Local</t>
        </is>
      </c>
      <c r="T45" s="28">
        <f>IF(S45="Amazon",IF(ISNUMBER(Q45),Q45,0),IF(ISNUMBER(P45),P45,0))</f>
        <v/>
      </c>
      <c r="U45" s="25" t="inlineStr">
        <is>
          <t>Por comprar</t>
        </is>
      </c>
      <c r="V45" s="28">
        <f>SUMIFS('Registro de gastos'!$F$10:$F$400,'Registro de gastos'!$B$10:$B$400,A45)</f>
        <v/>
      </c>
      <c r="W45" s="28">
        <f>IF(OR(U45="Por comprar",U45="Cotizado"),MAX(T45-V45,0),0)</f>
        <v/>
      </c>
      <c r="X45" s="28">
        <f>V45+W45</f>
        <v/>
      </c>
      <c r="Y45" s="25" t="n"/>
      <c r="Z45" s="23" t="n"/>
      <c r="AA45" s="30" t="inlineStr"/>
      <c r="AB45" s="28">
        <f>IF(AND(S45="Amazon",ISNUMBER(M45),W45&gt;0),ROUNDUP(G45/N45,0)*M45,0)</f>
        <v/>
      </c>
      <c r="AC45" s="28">
        <f>IF(AND(ISNUMBER(P45),ISNUMBER(Q45)),MIN(P45,Q45),IF(ISNUMBER(P45),P45,IF(ISNUMBER(Q45),Q45,0)))</f>
        <v/>
      </c>
    </row>
    <row r="46">
      <c r="A46" s="22" t="inlineStr">
        <is>
          <t>TOR-05</t>
        </is>
      </c>
      <c r="B46" s="23" t="inlineStr">
        <is>
          <t>Tornillería</t>
        </is>
      </c>
      <c r="C46" s="24" t="inlineStr">
        <is>
          <t>Perno M5 × 35 + tuercas</t>
        </is>
      </c>
      <c r="D46" s="24" t="inlineStr">
        <is>
          <t>2 tuercas por perno</t>
        </is>
      </c>
      <c r="E46" s="24" t="inlineStr">
        <is>
          <t>Tensores de correa</t>
        </is>
      </c>
      <c r="F46" s="23" t="inlineStr">
        <is>
          <t>HTM</t>
        </is>
      </c>
      <c r="G46" s="25" t="n">
        <v>4</v>
      </c>
      <c r="H46" s="23" t="inlineStr">
        <is>
          <t>Recomendado</t>
        </is>
      </c>
      <c r="I46" s="24" t="inlineStr">
        <is>
          <t>Vidrí</t>
        </is>
      </c>
      <c r="J46" s="26" t="n">
        <v>0.25</v>
      </c>
      <c r="K46" s="25" t="n">
        <v>1</v>
      </c>
      <c r="L46" s="24" t="inlineStr">
        <is>
          <t>Estimado</t>
        </is>
      </c>
      <c r="M46" s="26" t="n"/>
      <c r="N46" s="25" t="n"/>
      <c r="O46" s="27" t="n"/>
      <c r="P46" s="28">
        <f>IF(J46="","",ROUNDUP(G46/K46,0)*J46*(1-IF(ISNUMBER(SEARCH("Casa Rivas",I46)),DescCasaRivas,0)))</f>
        <v/>
      </c>
      <c r="Q46" s="28">
        <f>IF(M46="","",ROUNDUP(G46/N46,0)*(M46*(1+TasaVentasEEUU)+O46*FleteLb*(1+IVA)+M46*(1+RecargoCIF)*IVA))</f>
        <v/>
      </c>
      <c r="R46" s="23">
        <f>IF(AND(ISNUMBER(P46),ISNUMBER(Q46)),IF(P46&lt;=Q46,"Local","Amazon"),IF(ISNUMBER(P46),"Local",IF(ISNUMBER(Q46),"Amazon","—")))</f>
        <v/>
      </c>
      <c r="S46" s="25" t="inlineStr">
        <is>
          <t>Local</t>
        </is>
      </c>
      <c r="T46" s="28">
        <f>IF(S46="Amazon",IF(ISNUMBER(Q46),Q46,0),IF(ISNUMBER(P46),P46,0))</f>
        <v/>
      </c>
      <c r="U46" s="25" t="inlineStr">
        <is>
          <t>Por comprar</t>
        </is>
      </c>
      <c r="V46" s="28">
        <f>SUMIFS('Registro de gastos'!$F$10:$F$400,'Registro de gastos'!$B$10:$B$400,A46)</f>
        <v/>
      </c>
      <c r="W46" s="28">
        <f>IF(OR(U46="Por comprar",U46="Cotizado"),MAX(T46-V46,0),0)</f>
        <v/>
      </c>
      <c r="X46" s="28">
        <f>V46+W46</f>
        <v/>
      </c>
      <c r="Y46" s="25" t="n"/>
      <c r="Z46" s="23" t="n"/>
      <c r="AA46" s="30" t="inlineStr"/>
      <c r="AB46" s="28">
        <f>IF(AND(S46="Amazon",ISNUMBER(M46),W46&gt;0),ROUNDUP(G46/N46,0)*M46,0)</f>
        <v/>
      </c>
      <c r="AC46" s="28">
        <f>IF(AND(ISNUMBER(P46),ISNUMBER(Q46)),MIN(P46,Q46),IF(ISNUMBER(P46),P46,IF(ISNUMBER(Q46),Q46,0)))</f>
        <v/>
      </c>
    </row>
    <row r="47">
      <c r="A47" s="22" t="inlineStr">
        <is>
          <t>TOR-06</t>
        </is>
      </c>
      <c r="B47" s="23" t="inlineStr">
        <is>
          <t>Tornillería</t>
        </is>
      </c>
      <c r="C47" s="24" t="inlineStr">
        <is>
          <t>Tornillo M4 + tuerca</t>
        </is>
      </c>
      <c r="D47" s="24" t="inlineStr">
        <is>
          <t>≈ M4 × 40: grosor de la base + 20 mm de madera</t>
        </is>
      </c>
      <c r="E47" s="24" t="inlineStr">
        <is>
          <t>Fijar la base a la madera (12 agujeros)</t>
        </is>
      </c>
      <c r="F47" s="23" t="inlineStr">
        <is>
          <t>HTM</t>
        </is>
      </c>
      <c r="G47" s="25" t="n">
        <v>12</v>
      </c>
      <c r="H47" s="23" t="inlineStr">
        <is>
          <t>Recomendado</t>
        </is>
      </c>
      <c r="I47" s="24" t="inlineStr">
        <is>
          <t>Vidrí</t>
        </is>
      </c>
      <c r="J47" s="26" t="n">
        <v>0.12</v>
      </c>
      <c r="K47" s="25" t="n">
        <v>1</v>
      </c>
      <c r="L47" s="24" t="inlineStr">
        <is>
          <t>Estimado</t>
        </is>
      </c>
      <c r="M47" s="26" t="n"/>
      <c r="N47" s="25" t="n"/>
      <c r="O47" s="27" t="n"/>
      <c r="P47" s="28">
        <f>IF(J47="","",ROUNDUP(G47/K47,0)*J47*(1-IF(ISNUMBER(SEARCH("Casa Rivas",I47)),DescCasaRivas,0)))</f>
        <v/>
      </c>
      <c r="Q47" s="28">
        <f>IF(M47="","",ROUNDUP(G47/N47,0)*(M47*(1+TasaVentasEEUU)+O47*FleteLb*(1+IVA)+M47*(1+RecargoCIF)*IVA))</f>
        <v/>
      </c>
      <c r="R47" s="23">
        <f>IF(AND(ISNUMBER(P47),ISNUMBER(Q47)),IF(P47&lt;=Q47,"Local","Amazon"),IF(ISNUMBER(P47),"Local",IF(ISNUMBER(Q47),"Amazon","—")))</f>
        <v/>
      </c>
      <c r="S47" s="25" t="inlineStr">
        <is>
          <t>Local</t>
        </is>
      </c>
      <c r="T47" s="28">
        <f>IF(S47="Amazon",IF(ISNUMBER(Q47),Q47,0),IF(ISNUMBER(P47),P47,0))</f>
        <v/>
      </c>
      <c r="U47" s="25" t="inlineStr">
        <is>
          <t>Por comprar</t>
        </is>
      </c>
      <c r="V47" s="28">
        <f>SUMIFS('Registro de gastos'!$F$10:$F$400,'Registro de gastos'!$B$10:$B$400,A47)</f>
        <v/>
      </c>
      <c r="W47" s="28">
        <f>IF(OR(U47="Por comprar",U47="Cotizado"),MAX(T47-V47,0),0)</f>
        <v/>
      </c>
      <c r="X47" s="28">
        <f>V47+W47</f>
        <v/>
      </c>
      <c r="Y47" s="25" t="n"/>
      <c r="Z47" s="23" t="n"/>
      <c r="AA47" s="30" t="inlineStr">
        <is>
          <t>Midan la base antes de comprar el largo.</t>
        </is>
      </c>
      <c r="AB47" s="28">
        <f>IF(AND(S47="Amazon",ISNUMBER(M47),W47&gt;0),ROUNDUP(G47/N47,0)*M47,0)</f>
        <v/>
      </c>
      <c r="AC47" s="28">
        <f>IF(AND(ISNUMBER(P47),ISNUMBER(Q47)),MIN(P47,Q47),IF(ISNUMBER(P47),P47,IF(ISNUMBER(Q47),Q47,0)))</f>
        <v/>
      </c>
    </row>
    <row r="48">
      <c r="A48" s="22" t="inlineStr">
        <is>
          <t>TOR-07</t>
        </is>
      </c>
      <c r="B48" s="23" t="inlineStr">
        <is>
          <t>Tornillería</t>
        </is>
      </c>
      <c r="C48" s="24" t="inlineStr">
        <is>
          <t>Tornillo M2 × 10 + tuerca</t>
        </is>
      </c>
      <c r="D48" s="24" t="inlineStr">
        <is>
          <t>O autorroscante para plástico</t>
        </is>
      </c>
      <c r="E48" s="24" t="inlineStr">
        <is>
          <t>Finales de carrera (2 por switch)</t>
        </is>
      </c>
      <c r="F48" s="23" t="inlineStr">
        <is>
          <t>HTM</t>
        </is>
      </c>
      <c r="G48" s="25" t="n">
        <v>8</v>
      </c>
      <c r="H48" s="23" t="inlineStr">
        <is>
          <t>Obligatorio</t>
        </is>
      </c>
      <c r="I48" s="24" t="inlineStr">
        <is>
          <t>Vidrí / Casa Rivas</t>
        </is>
      </c>
      <c r="J48" s="26" t="n">
        <v>0.1</v>
      </c>
      <c r="K48" s="25" t="n">
        <v>1</v>
      </c>
      <c r="L48" s="24" t="inlineStr">
        <is>
          <t>Estimado</t>
        </is>
      </c>
      <c r="M48" s="26" t="n"/>
      <c r="N48" s="25" t="n"/>
      <c r="O48" s="27" t="n"/>
      <c r="P48" s="28">
        <f>IF(J48="","",ROUNDUP(G48/K48,0)*J48*(1-IF(ISNUMBER(SEARCH("Casa Rivas",I48)),DescCasaRivas,0)))</f>
        <v/>
      </c>
      <c r="Q48" s="28">
        <f>IF(M48="","",ROUNDUP(G48/N48,0)*(M48*(1+TasaVentasEEUU)+O48*FleteLb*(1+IVA)+M48*(1+RecargoCIF)*IVA))</f>
        <v/>
      </c>
      <c r="R48" s="23">
        <f>IF(AND(ISNUMBER(P48),ISNUMBER(Q48)),IF(P48&lt;=Q48,"Local","Amazon"),IF(ISNUMBER(P48),"Local",IF(ISNUMBER(Q48),"Amazon","—")))</f>
        <v/>
      </c>
      <c r="S48" s="25" t="inlineStr">
        <is>
          <t>Local</t>
        </is>
      </c>
      <c r="T48" s="28">
        <f>IF(S48="Amazon",IF(ISNUMBER(Q48),Q48,0),IF(ISNUMBER(P48),P48,0))</f>
        <v/>
      </c>
      <c r="U48" s="25" t="inlineStr">
        <is>
          <t>Por comprar</t>
        </is>
      </c>
      <c r="V48" s="28">
        <f>SUMIFS('Registro de gastos'!$F$10:$F$400,'Registro de gastos'!$B$10:$B$400,A48)</f>
        <v/>
      </c>
      <c r="W48" s="28">
        <f>IF(OR(U48="Por comprar",U48="Cotizado"),MAX(T48-V48,0),0)</f>
        <v/>
      </c>
      <c r="X48" s="28">
        <f>V48+W48</f>
        <v/>
      </c>
      <c r="Y48" s="25" t="n"/>
      <c r="Z48" s="23" t="n"/>
      <c r="AA48" s="30" t="inlineStr">
        <is>
          <t>Si los finales de carrera traen tornillos, no hace falta.</t>
        </is>
      </c>
      <c r="AB48" s="28">
        <f>IF(AND(S48="Amazon",ISNUMBER(M48),W48&gt;0),ROUNDUP(G48/N48,0)*M48,0)</f>
        <v/>
      </c>
      <c r="AC48" s="28">
        <f>IF(AND(ISNUMBER(P48),ISNUMBER(Q48)),MIN(P48,Q48),IF(ISNUMBER(P48),P48,IF(ISNUMBER(Q48),Q48,0)))</f>
        <v/>
      </c>
    </row>
    <row r="49">
      <c r="A49" s="22" t="inlineStr">
        <is>
          <t>TOR-08</t>
        </is>
      </c>
      <c r="B49" s="23" t="inlineStr">
        <is>
          <t>Tornillería</t>
        </is>
      </c>
      <c r="C49" s="24" t="inlineStr">
        <is>
          <t>Perno M5 × 25</t>
        </is>
      </c>
      <c r="D49" s="24" t="inlineStr">
        <is>
          <t>DIN 912</t>
        </is>
      </c>
      <c r="E49" s="24" t="inlineStr">
        <is>
          <t>Plataforma Z → brazo 1</t>
        </is>
      </c>
      <c r="F49" s="23" t="inlineStr">
        <is>
          <t>HTM</t>
        </is>
      </c>
      <c r="G49" s="25" t="n">
        <v>4</v>
      </c>
      <c r="H49" s="23" t="inlineStr">
        <is>
          <t>Obligatorio</t>
        </is>
      </c>
      <c r="I49" s="24" t="inlineStr">
        <is>
          <t>Vidrí</t>
        </is>
      </c>
      <c r="J49" s="26" t="n">
        <v>0.2</v>
      </c>
      <c r="K49" s="25" t="n">
        <v>1</v>
      </c>
      <c r="L49" s="24" t="inlineStr">
        <is>
          <t>Estimado</t>
        </is>
      </c>
      <c r="M49" s="26" t="n"/>
      <c r="N49" s="25" t="n"/>
      <c r="O49" s="27" t="n"/>
      <c r="P49" s="28">
        <f>IF(J49="","",ROUNDUP(G49/K49,0)*J49*(1-IF(ISNUMBER(SEARCH("Casa Rivas",I49)),DescCasaRivas,0)))</f>
        <v/>
      </c>
      <c r="Q49" s="28">
        <f>IF(M49="","",ROUNDUP(G49/N49,0)*(M49*(1+TasaVentasEEUU)+O49*FleteLb*(1+IVA)+M49*(1+RecargoCIF)*IVA))</f>
        <v/>
      </c>
      <c r="R49" s="23">
        <f>IF(AND(ISNUMBER(P49),ISNUMBER(Q49)),IF(P49&lt;=Q49,"Local","Amazon"),IF(ISNUMBER(P49),"Local",IF(ISNUMBER(Q49),"Amazon","—")))</f>
        <v/>
      </c>
      <c r="S49" s="25" t="inlineStr">
        <is>
          <t>Local</t>
        </is>
      </c>
      <c r="T49" s="28">
        <f>IF(S49="Amazon",IF(ISNUMBER(Q49),Q49,0),IF(ISNUMBER(P49),P49,0))</f>
        <v/>
      </c>
      <c r="U49" s="25" t="inlineStr">
        <is>
          <t>Por comprar</t>
        </is>
      </c>
      <c r="V49" s="28">
        <f>SUMIFS('Registro de gastos'!$F$10:$F$400,'Registro de gastos'!$B$10:$B$400,A49)</f>
        <v/>
      </c>
      <c r="W49" s="28">
        <f>IF(OR(U49="Por comprar",U49="Cotizado"),MAX(T49-V49,0),0)</f>
        <v/>
      </c>
      <c r="X49" s="28">
        <f>V49+W49</f>
        <v/>
      </c>
      <c r="Y49" s="25" t="n"/>
      <c r="Z49" s="23" t="n"/>
      <c r="AA49" s="30" t="inlineStr">
        <is>
          <t>Medida del simulador (Z-axis Mount Platform).</t>
        </is>
      </c>
      <c r="AB49" s="28">
        <f>IF(AND(S49="Amazon",ISNUMBER(M49),W49&gt;0),ROUNDUP(G49/N49,0)*M49,0)</f>
        <v/>
      </c>
      <c r="AC49" s="28">
        <f>IF(AND(ISNUMBER(P49),ISNUMBER(Q49)),MIN(P49,Q49),IF(ISNUMBER(P49),P49,IF(ISNUMBER(Q49),Q49,0)))</f>
        <v/>
      </c>
    </row>
    <row r="50">
      <c r="A50" s="22" t="inlineStr">
        <is>
          <t>VAR-01</t>
        </is>
      </c>
      <c r="B50" s="23" t="inlineStr">
        <is>
          <t>Impresión y varios</t>
        </is>
      </c>
      <c r="C50" s="24" t="inlineStr">
        <is>
          <t>Filamento PLA+ 1.75 mm</t>
        </is>
      </c>
      <c r="D50" s="24" t="inlineStr">
        <is>
          <t>Rollo de 1 kg</t>
        </is>
      </c>
      <c r="E50" s="24" t="inlineStr">
        <is>
          <t>Todas las piezas impresas (ver hoja Impresión 3D)</t>
        </is>
      </c>
      <c r="F50" s="23" t="inlineStr">
        <is>
          <t>HTM</t>
        </is>
      </c>
      <c r="G50" s="31">
        <f>'Impresión 3D'!$B$6</f>
        <v/>
      </c>
      <c r="H50" s="23" t="inlineStr">
        <is>
          <t>Obligatorio</t>
        </is>
      </c>
      <c r="I50" s="24" t="inlineStr">
        <is>
          <t>El Changarro (PLA 1 kg)</t>
        </is>
      </c>
      <c r="J50" s="26" t="n">
        <v>27.99</v>
      </c>
      <c r="K50" s="25" t="n">
        <v>1</v>
      </c>
      <c r="L50" s="24" t="inlineStr">
        <is>
          <t>Indexado en buscador (oferta)</t>
        </is>
      </c>
      <c r="M50" s="26" t="n">
        <v>11.19</v>
      </c>
      <c r="N50" s="25" t="n">
        <v>1</v>
      </c>
      <c r="O50" s="27" t="n">
        <v>2.9</v>
      </c>
      <c r="P50" s="28">
        <f>IF(J50="","",ROUNDUP(G50/K50,0)*J50*(1-IF(ISNUMBER(SEARCH("Casa Rivas",I50)),DescCasaRivas,0)))</f>
        <v/>
      </c>
      <c r="Q50" s="28">
        <f>IF(M50="","",ROUNDUP(G50/N50,0)*(M50*(1+TasaVentasEEUU)+O50*FleteLb*(1+IVA)+M50*(1+RecargoCIF)*IVA))</f>
        <v/>
      </c>
      <c r="R50" s="23">
        <f>IF(AND(ISNUMBER(P50),ISNUMBER(Q50)),IF(P50&lt;=Q50,"Local","Amazon"),IF(ISNUMBER(P50),"Local",IF(ISNUMBER(Q50),"Amazon","—")))</f>
        <v/>
      </c>
      <c r="S50" s="25" t="inlineStr">
        <is>
          <t>Amazon</t>
        </is>
      </c>
      <c r="T50" s="28">
        <f>IF(S50="Amazon",IF(ISNUMBER(Q50),Q50,0),IF(ISNUMBER(P50),P50,0))</f>
        <v/>
      </c>
      <c r="U50" s="25" t="inlineStr">
        <is>
          <t>Ya lo tenemos</t>
        </is>
      </c>
      <c r="V50" s="28">
        <f>SUMIFS('Registro de gastos'!$F$10:$F$400,'Registro de gastos'!$B$10:$B$400,A50)</f>
        <v/>
      </c>
      <c r="W50" s="28">
        <f>IF(OR(U50="Por comprar",U50="Cotizado"),MAX(T50-V50,0),0)</f>
        <v/>
      </c>
      <c r="X50" s="28">
        <f>V50+W50</f>
        <v/>
      </c>
      <c r="Y50" s="25" t="n"/>
      <c r="Z50" s="29" t="inlineStr">
        <is>
          <t>https://www.amazon.com/dp/B07XG3RM58</t>
        </is>
      </c>
      <c r="AA50" s="30" t="inlineStr">
        <is>
          <t>Impresión gratuita: todas las piezas impresas quedan sin costo. Avalon Tech publicaba USD 30, pero cerró su tienda en línea en jul-2026: preguntar por WhatsApp. Si la universidad imprime, poner 'Ya lo tenemos'.</t>
        </is>
      </c>
      <c r="AB50" s="28">
        <f>IF(AND(S50="Amazon",ISNUMBER(M50),W50&gt;0),ROUNDUP(G50/N50,0)*M50,0)</f>
        <v/>
      </c>
      <c r="AC50" s="28">
        <f>IF(AND(ISNUMBER(P50),ISNUMBER(Q50)),MIN(P50,Q50),IF(ISNUMBER(P50),P50,IF(ISNUMBER(Q50),Q50,0)))</f>
        <v/>
      </c>
    </row>
    <row r="51">
      <c r="A51" s="22" t="inlineStr">
        <is>
          <t>VAR-02</t>
        </is>
      </c>
      <c r="B51" s="23" t="inlineStr">
        <is>
          <t>Impresión y varios</t>
        </is>
      </c>
      <c r="C51" s="24" t="inlineStr">
        <is>
          <t>Cinchos sujetacables</t>
        </is>
      </c>
      <c r="D51" s="24" t="inlineStr">
        <is>
          <t>Paquete corto, negro</t>
        </is>
      </c>
      <c r="E51" s="24" t="inlineStr">
        <is>
          <t>Ordenar los cables</t>
        </is>
      </c>
      <c r="F51" s="23" t="inlineStr">
        <is>
          <t>HTM</t>
        </is>
      </c>
      <c r="G51" s="25" t="n">
        <v>1</v>
      </c>
      <c r="H51" s="23" t="inlineStr">
        <is>
          <t>Recomendado</t>
        </is>
      </c>
      <c r="I51" s="24" t="inlineStr">
        <is>
          <t>Steren (TY24NE)</t>
        </is>
      </c>
      <c r="J51" s="26" t="n">
        <v>2.49</v>
      </c>
      <c r="K51" s="25" t="n">
        <v>1</v>
      </c>
      <c r="L51" s="24" t="inlineStr">
        <is>
          <t>Verificado en línea 06-oct-2026</t>
        </is>
      </c>
      <c r="M51" s="26" t="n"/>
      <c r="N51" s="25" t="n"/>
      <c r="O51" s="27" t="n"/>
      <c r="P51" s="28">
        <f>IF(J51="","",ROUNDUP(G51/K51,0)*J51*(1-IF(ISNUMBER(SEARCH("Casa Rivas",I51)),DescCasaRivas,0)))</f>
        <v/>
      </c>
      <c r="Q51" s="28">
        <f>IF(M51="","",ROUNDUP(G51/N51,0)*(M51*(1+TasaVentasEEUU)+O51*FleteLb*(1+IVA)+M51*(1+RecargoCIF)*IVA))</f>
        <v/>
      </c>
      <c r="R51" s="23">
        <f>IF(AND(ISNUMBER(P51),ISNUMBER(Q51)),IF(P51&lt;=Q51,"Local","Amazon"),IF(ISNUMBER(P51),"Local",IF(ISNUMBER(Q51),"Amazon","—")))</f>
        <v/>
      </c>
      <c r="S51" s="25" t="inlineStr">
        <is>
          <t>Local</t>
        </is>
      </c>
      <c r="T51" s="28">
        <f>IF(S51="Amazon",IF(ISNUMBER(Q51),Q51,0),IF(ISNUMBER(P51),P51,0))</f>
        <v/>
      </c>
      <c r="U51" s="25" t="inlineStr">
        <is>
          <t>Por comprar</t>
        </is>
      </c>
      <c r="V51" s="28">
        <f>SUMIFS('Registro de gastos'!$F$10:$F$400,'Registro de gastos'!$B$10:$B$400,A51)</f>
        <v/>
      </c>
      <c r="W51" s="28">
        <f>IF(OR(U51="Por comprar",U51="Cotizado"),MAX(T51-V51,0),0)</f>
        <v/>
      </c>
      <c r="X51" s="28">
        <f>V51+W51</f>
        <v/>
      </c>
      <c r="Y51" s="25" t="n"/>
      <c r="Z51" s="23" t="n"/>
      <c r="AA51" s="30" t="inlineStr"/>
      <c r="AB51" s="28">
        <f>IF(AND(S51="Amazon",ISNUMBER(M51),W51&gt;0),ROUNDUP(G51/N51,0)*M51,0)</f>
        <v/>
      </c>
      <c r="AC51" s="28">
        <f>IF(AND(ISNUMBER(P51),ISNUMBER(Q51)),MIN(P51,Q51),IF(ISNUMBER(P51),P51,IF(ISNUMBER(Q51),Q51,0)))</f>
        <v/>
      </c>
    </row>
    <row r="52">
      <c r="A52" s="22" t="inlineStr">
        <is>
          <t>VAR-03</t>
        </is>
      </c>
      <c r="B52" s="23" t="inlineStr">
        <is>
          <t>Impresión y varios</t>
        </is>
      </c>
      <c r="C52" s="24" t="inlineStr">
        <is>
          <t>Funda trenzada para cables 1/4"</t>
        </is>
      </c>
      <c r="D52" s="24" t="inlineStr"/>
      <c r="E52" s="24" t="inlineStr">
        <is>
          <t>Mazo de cables de la columna</t>
        </is>
      </c>
      <c r="F52" s="23" t="inlineStr">
        <is>
          <t>HTM</t>
        </is>
      </c>
      <c r="G52" s="25" t="n">
        <v>1</v>
      </c>
      <c r="H52" s="23" t="inlineStr">
        <is>
          <t>Opcional</t>
        </is>
      </c>
      <c r="I52" s="24" t="inlineStr"/>
      <c r="J52" s="26" t="n"/>
      <c r="K52" s="25" t="n"/>
      <c r="L52" s="24" t="inlineStr"/>
      <c r="M52" s="26" t="n">
        <v>9.99</v>
      </c>
      <c r="N52" s="25" t="n">
        <v>1</v>
      </c>
      <c r="O52" s="27" t="n">
        <v>0.3</v>
      </c>
      <c r="P52" s="28">
        <f>IF(J52="","",ROUNDUP(G52/K52,0)*J52*(1-IF(ISNUMBER(SEARCH("Casa Rivas",I52)),DescCasaRivas,0)))</f>
        <v/>
      </c>
      <c r="Q52" s="28">
        <f>IF(M52="","",ROUNDUP(G52/N52,0)*(M52*(1+TasaVentasEEUU)+O52*FleteLb*(1+IVA)+M52*(1+RecargoCIF)*IVA))</f>
        <v/>
      </c>
      <c r="R52" s="23">
        <f>IF(AND(ISNUMBER(P52),ISNUMBER(Q52)),IF(P52&lt;=Q52,"Local","Amazon"),IF(ISNUMBER(P52),"Local",IF(ISNUMBER(Q52),"Amazon","—")))</f>
        <v/>
      </c>
      <c r="S52" s="25" t="inlineStr">
        <is>
          <t>Amazon</t>
        </is>
      </c>
      <c r="T52" s="28">
        <f>IF(S52="Amazon",IF(ISNUMBER(Q52),Q52,0),IF(ISNUMBER(P52),P52,0))</f>
        <v/>
      </c>
      <c r="U52" s="25" t="inlineStr">
        <is>
          <t>No comprar</t>
        </is>
      </c>
      <c r="V52" s="28">
        <f>SUMIFS('Registro de gastos'!$F$10:$F$400,'Registro de gastos'!$B$10:$B$400,A52)</f>
        <v/>
      </c>
      <c r="W52" s="28">
        <f>IF(OR(U52="Por comprar",U52="Cotizado"),MAX(T52-V52,0),0)</f>
        <v/>
      </c>
      <c r="X52" s="28">
        <f>V52+W52</f>
        <v/>
      </c>
      <c r="Y52" s="25" t="n"/>
      <c r="Z52" s="29" t="inlineStr">
        <is>
          <t>https://www.amazon.com/dp/B07RZXSJBM</t>
        </is>
      </c>
      <c r="AA52" s="30" t="inlineStr"/>
      <c r="AB52" s="28">
        <f>IF(AND(S52="Amazon",ISNUMBER(M52),W52&gt;0),ROUNDUP(G52/N52,0)*M52,0)</f>
        <v/>
      </c>
      <c r="AC52" s="28">
        <f>IF(AND(ISNUMBER(P52),ISNUMBER(Q52)),MIN(P52,Q52),IF(ISNUMBER(P52),P52,IF(ISNUMBER(Q52),Q52,0)))</f>
        <v/>
      </c>
    </row>
    <row r="53">
      <c r="A53" s="22" t="inlineStr">
        <is>
          <t>VAR-04</t>
        </is>
      </c>
      <c r="B53" s="23" t="inlineStr">
        <is>
          <t>Impresión y varios</t>
        </is>
      </c>
      <c r="C53" s="24" t="inlineStr">
        <is>
          <t>Tubo termorretráctil (surtido)</t>
        </is>
      </c>
      <c r="D53" s="24" t="inlineStr"/>
      <c r="E53" s="24" t="inlineStr">
        <is>
          <t>Aislar empalmes</t>
        </is>
      </c>
      <c r="F53" s="23" t="inlineStr">
        <is>
          <t>MathBot</t>
        </is>
      </c>
      <c r="G53" s="25" t="n">
        <v>1</v>
      </c>
      <c r="H53" s="23" t="inlineStr">
        <is>
          <t>Recomendado</t>
        </is>
      </c>
      <c r="I53" s="24" t="inlineStr">
        <is>
          <t>Casa Rivas</t>
        </is>
      </c>
      <c r="J53" s="26" t="n">
        <v>2</v>
      </c>
      <c r="K53" s="25" t="n">
        <v>1</v>
      </c>
      <c r="L53" s="24" t="inlineStr">
        <is>
          <t>Estimado</t>
        </is>
      </c>
      <c r="M53" s="26" t="n">
        <v>6.64</v>
      </c>
      <c r="N53" s="25" t="n">
        <v>1</v>
      </c>
      <c r="O53" s="27" t="n">
        <v>0.3</v>
      </c>
      <c r="P53" s="28">
        <f>IF(J53="","",ROUNDUP(G53/K53,0)*J53*(1-IF(ISNUMBER(SEARCH("Casa Rivas",I53)),DescCasaRivas,0)))</f>
        <v/>
      </c>
      <c r="Q53" s="28">
        <f>IF(M53="","",ROUNDUP(G53/N53,0)*(M53*(1+TasaVentasEEUU)+O53*FleteLb*(1+IVA)+M53*(1+RecargoCIF)*IVA))</f>
        <v/>
      </c>
      <c r="R53" s="23">
        <f>IF(AND(ISNUMBER(P53),ISNUMBER(Q53)),IF(P53&lt;=Q53,"Local","Amazon"),IF(ISNUMBER(P53),"Local",IF(ISNUMBER(Q53),"Amazon","—")))</f>
        <v/>
      </c>
      <c r="S53" s="25" t="inlineStr">
        <is>
          <t>Local</t>
        </is>
      </c>
      <c r="T53" s="28">
        <f>IF(S53="Amazon",IF(ISNUMBER(Q53),Q53,0),IF(ISNUMBER(P53),P53,0))</f>
        <v/>
      </c>
      <c r="U53" s="25" t="inlineStr">
        <is>
          <t>Por comprar</t>
        </is>
      </c>
      <c r="V53" s="28">
        <f>SUMIFS('Registro de gastos'!$F$10:$F$400,'Registro de gastos'!$B$10:$B$400,A53)</f>
        <v/>
      </c>
      <c r="W53" s="28">
        <f>IF(OR(U53="Por comprar",U53="Cotizado"),MAX(T53-V53,0),0)</f>
        <v/>
      </c>
      <c r="X53" s="28">
        <f>V53+W53</f>
        <v/>
      </c>
      <c r="Y53" s="25" t="n"/>
      <c r="Z53" s="29" t="inlineStr">
        <is>
          <t>https://www.amazon.com/dp/B01MFA3OFA</t>
        </is>
      </c>
      <c r="AA53" s="30" t="inlineStr"/>
      <c r="AB53" s="28">
        <f>IF(AND(S53="Amazon",ISNUMBER(M53),W53&gt;0),ROUNDUP(G53/N53,0)*M53,0)</f>
        <v/>
      </c>
      <c r="AC53" s="28">
        <f>IF(AND(ISNUMBER(P53),ISNUMBER(Q53)),MIN(P53,Q53),IF(ISNUMBER(P53),P53,IF(ISNUMBER(Q53),Q53,0)))</f>
        <v/>
      </c>
    </row>
    <row r="54">
      <c r="A54" s="22" t="inlineStr">
        <is>
          <t>VAR-05</t>
        </is>
      </c>
      <c r="B54" s="23" t="inlineStr">
        <is>
          <t>Impresión y varios</t>
        </is>
      </c>
      <c r="C54" s="24" t="inlineStr">
        <is>
          <t>Gestión de casillero (por envío)</t>
        </is>
      </c>
      <c r="D54" s="24" t="inlineStr"/>
      <c r="E54" s="24" t="inlineStr">
        <is>
          <t>Cargo fijo por paquete consolidado</t>
        </is>
      </c>
      <c r="F54" s="23" t="inlineStr">
        <is>
          <t>MathBot</t>
        </is>
      </c>
      <c r="G54" s="31">
        <f>EnviosCasillero</f>
        <v/>
      </c>
      <c r="H54" s="23" t="inlineStr">
        <is>
          <t>Obligatorio</t>
        </is>
      </c>
      <c r="I54" s="24" t="inlineStr">
        <is>
          <t>Casillero en Miami (p. ej. QuickBox)</t>
        </is>
      </c>
      <c r="J54" s="32">
        <f>GestionEnvio</f>
        <v/>
      </c>
      <c r="K54" s="25" t="n">
        <v>1</v>
      </c>
      <c r="L54" s="24" t="inlineStr">
        <is>
          <t>Estimado</t>
        </is>
      </c>
      <c r="M54" s="26" t="n"/>
      <c r="N54" s="25" t="n"/>
      <c r="O54" s="27" t="n"/>
      <c r="P54" s="28">
        <f>IF(J54="","",ROUNDUP(G54/K54,0)*J54*(1-IF(ISNUMBER(SEARCH("Casa Rivas",I54)),DescCasaRivas,0)))</f>
        <v/>
      </c>
      <c r="Q54" s="28">
        <f>IF(M54="","",ROUNDUP(G54/N54,0)*(M54*(1+TasaVentasEEUU)+O54*FleteLb*(1+IVA)+M54*(1+RecargoCIF)*IVA))</f>
        <v/>
      </c>
      <c r="R54" s="23">
        <f>IF(AND(ISNUMBER(P54),ISNUMBER(Q54)),IF(P54&lt;=Q54,"Local","Amazon"),IF(ISNUMBER(P54),"Local",IF(ISNUMBER(Q54),"Amazon","—")))</f>
        <v/>
      </c>
      <c r="S54" s="25" t="inlineStr">
        <is>
          <t>Local</t>
        </is>
      </c>
      <c r="T54" s="28">
        <f>IF(S54="Amazon",IF(ISNUMBER(Q54),Q54,0),IF(ISNUMBER(P54),P54,0))</f>
        <v/>
      </c>
      <c r="U54" s="25" t="inlineStr">
        <is>
          <t>Por comprar</t>
        </is>
      </c>
      <c r="V54" s="28">
        <f>SUMIFS('Registro de gastos'!$F$10:$F$400,'Registro de gastos'!$B$10:$B$400,A54)</f>
        <v/>
      </c>
      <c r="W54" s="28">
        <f>IF(OR(U54="Por comprar",U54="Cotizado"),MAX(T54-V54,0),0)</f>
        <v/>
      </c>
      <c r="X54" s="28">
        <f>V54+W54</f>
        <v/>
      </c>
      <c r="Y54" s="25" t="n"/>
      <c r="Z54" s="23" t="n"/>
      <c r="AA54" s="30" t="inlineStr">
        <is>
          <t>El flete por libra ya va dentro del 'Total Amazon puesto en SV'. Esta línea es solo la gestión; ajusten el número de envíos en Supuestos.</t>
        </is>
      </c>
      <c r="AB54" s="28">
        <f>IF(AND(S54="Amazon",ISNUMBER(M54),W54&gt;0),ROUNDUP(G54/N54,0)*M54,0)</f>
        <v/>
      </c>
      <c r="AC54" s="28">
        <f>IF(AND(ISNUMBER(P54),ISNUMBER(Q54)),MIN(P54,Q54),IF(ISNUMBER(P54),P54,IF(ISNUMBER(Q54),Q54,0)))</f>
        <v/>
      </c>
    </row>
    <row r="55">
      <c r="A55" s="2" t="n"/>
      <c r="B55" s="2" t="n"/>
      <c r="C55" s="4" t="inlineStr">
        <is>
          <t>Totales</t>
        </is>
      </c>
      <c r="D55" s="2" t="n"/>
      <c r="E55" s="2" t="n"/>
      <c r="F55" s="2" t="n"/>
      <c r="G55" s="2" t="n"/>
      <c r="H55" s="2" t="n"/>
      <c r="I55" s="2" t="n"/>
      <c r="J55" s="2" t="n"/>
      <c r="K55" s="2" t="n"/>
      <c r="L55" s="2" t="n"/>
      <c r="M55" s="2" t="n"/>
      <c r="N55" s="2" t="n"/>
      <c r="O55" s="2" t="n"/>
      <c r="P55" s="33">
        <f>SUM(P5:P54)</f>
        <v/>
      </c>
      <c r="Q55" s="33">
        <f>SUM(Q5:Q54)</f>
        <v/>
      </c>
      <c r="R55" s="2" t="n"/>
      <c r="S55" s="2" t="n"/>
      <c r="T55" s="33">
        <f>SUM(T5:T54)</f>
        <v/>
      </c>
      <c r="U55" s="2" t="n"/>
      <c r="V55" s="33">
        <f>SUM(V5:V54)</f>
        <v/>
      </c>
      <c r="W55" s="33">
        <f>SUM(W5:W54)</f>
        <v/>
      </c>
      <c r="X55" s="33">
        <f>SUM(X5:X54)</f>
        <v/>
      </c>
      <c r="Y55" s="2" t="n"/>
      <c r="Z55" s="2" t="n"/>
      <c r="AA55" s="2" t="n"/>
      <c r="AB55" s="33">
        <f>SUM(AB5:AB54)</f>
        <v/>
      </c>
      <c r="AC55" s="33">
        <f>SUM(AC5:AC54)</f>
        <v/>
      </c>
    </row>
    <row r="56">
      <c r="A56" s="2" t="n"/>
      <c r="B56" s="2" t="n"/>
      <c r="C56" s="7" t="inlineStr">
        <is>
          <t>Nota: 'Total local' y 'Total Amazon' suman todas las filas aunque no se compren; el costo real del proyecto está en 'Proyección'.</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row>
    <row r="57">
      <c r="A57" s="2" t="n"/>
      <c r="B57" s="2" t="n"/>
      <c r="C57" s="7" t="inlineStr">
        <is>
          <t>Naranja en 'Fuente elegida' = hay una opción más barata. Gris = fila que no se compra (no suma).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row>
  </sheetData>
  <autoFilter ref="A4:AC54"/>
  <mergeCells count="1">
    <mergeCell ref="A2:AB2"/>
  </mergeCells>
  <conditionalFormatting sqref="U5:U54">
    <cfRule type="cellIs" priority="1" operator="equal" dxfId="2">
      <formula>"Comprado"</formula>
    </cfRule>
    <cfRule type="cellIs" priority="2" operator="equal" dxfId="3">
      <formula>"Ya lo tenemos"</formula>
    </cfRule>
    <cfRule type="cellIs" priority="3" operator="equal" dxfId="4">
      <formula>"Cotizado"</formula>
    </cfRule>
    <cfRule type="cellIs" priority="4" operator="equal" dxfId="5">
      <formula>"No comprar"</formula>
    </cfRule>
  </conditionalFormatting>
  <conditionalFormatting sqref="S5:S54">
    <cfRule type="expression" priority="5" dxfId="6">
      <formula>AND(R5&lt;&gt;"—",S5&lt;&gt;R5)</formula>
    </cfRule>
  </conditionalFormatting>
  <conditionalFormatting sqref="A5:AB54">
    <cfRule type="expression" priority="6" dxfId="7">
      <formula>$U5="No comprar"</formula>
    </cfRule>
  </conditionalFormatting>
  <dataValidations count="4">
    <dataValidation sqref="U5:U54" showDropDown="0" showInputMessage="0" showErrorMessage="0" allowBlank="0" type="list">
      <formula1>"Por comprar,Cotizado,Comprado,Ya lo tenemos,No comprar"</formula1>
    </dataValidation>
    <dataValidation sqref="S5:S54" showDropDown="0" showInputMessage="0" showErrorMessage="0" allowBlank="0" type="list">
      <formula1>"Local,Amazon"</formula1>
    </dataValidation>
    <dataValidation sqref="H5:H54" showDropDown="0" showInputMessage="0" showErrorMessage="0" allowBlank="0" type="list">
      <formula1>"Obligatorio,Recomendado,Opcional"</formula1>
    </dataValidation>
    <dataValidation sqref="Y5:Y54" showDropDown="0" showInputMessage="0" showErrorMessage="0" allowBlank="1" type="list">
      <formula1>Miembros</formula1>
    </dataValidation>
  </dataValidation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10" r:id="rId5"/>
    <hyperlink xmlns:r="http://schemas.openxmlformats.org/officeDocument/2006/relationships" ref="Z11" r:id="rId6"/>
    <hyperlink xmlns:r="http://schemas.openxmlformats.org/officeDocument/2006/relationships" ref="Z12" r:id="rId7"/>
    <hyperlink xmlns:r="http://schemas.openxmlformats.org/officeDocument/2006/relationships" ref="Z13" r:id="rId8"/>
    <hyperlink xmlns:r="http://schemas.openxmlformats.org/officeDocument/2006/relationships" ref="Z14" r:id="rId9"/>
    <hyperlink xmlns:r="http://schemas.openxmlformats.org/officeDocument/2006/relationships" ref="Z15" r:id="rId10"/>
    <hyperlink xmlns:r="http://schemas.openxmlformats.org/officeDocument/2006/relationships" ref="Z16" r:id="rId11"/>
    <hyperlink xmlns:r="http://schemas.openxmlformats.org/officeDocument/2006/relationships" ref="Z17" r:id="rId12"/>
    <hyperlink xmlns:r="http://schemas.openxmlformats.org/officeDocument/2006/relationships" ref="Z18" r:id="rId13"/>
    <hyperlink xmlns:r="http://schemas.openxmlformats.org/officeDocument/2006/relationships" ref="Z19" r:id="rId14"/>
    <hyperlink xmlns:r="http://schemas.openxmlformats.org/officeDocument/2006/relationships" ref="Z20" r:id="rId15"/>
    <hyperlink xmlns:r="http://schemas.openxmlformats.org/officeDocument/2006/relationships" ref="Z21" r:id="rId16"/>
    <hyperlink xmlns:r="http://schemas.openxmlformats.org/officeDocument/2006/relationships" ref="Z22" r:id="rId17"/>
    <hyperlink xmlns:r="http://schemas.openxmlformats.org/officeDocument/2006/relationships" ref="Z23" r:id="rId18"/>
    <hyperlink xmlns:r="http://schemas.openxmlformats.org/officeDocument/2006/relationships" ref="Z24" r:id="rId19"/>
    <hyperlink xmlns:r="http://schemas.openxmlformats.org/officeDocument/2006/relationships" ref="Z25" r:id="rId20"/>
    <hyperlink xmlns:r="http://schemas.openxmlformats.org/officeDocument/2006/relationships" ref="Z28" r:id="rId21"/>
    <hyperlink xmlns:r="http://schemas.openxmlformats.org/officeDocument/2006/relationships" ref="Z29" r:id="rId22"/>
    <hyperlink xmlns:r="http://schemas.openxmlformats.org/officeDocument/2006/relationships" ref="Z30" r:id="rId23"/>
    <hyperlink xmlns:r="http://schemas.openxmlformats.org/officeDocument/2006/relationships" ref="Z31" r:id="rId24"/>
    <hyperlink xmlns:r="http://schemas.openxmlformats.org/officeDocument/2006/relationships" ref="Z32" r:id="rId25"/>
    <hyperlink xmlns:r="http://schemas.openxmlformats.org/officeDocument/2006/relationships" ref="Z34" r:id="rId26"/>
    <hyperlink xmlns:r="http://schemas.openxmlformats.org/officeDocument/2006/relationships" ref="Z35" r:id="rId27"/>
    <hyperlink xmlns:r="http://schemas.openxmlformats.org/officeDocument/2006/relationships" ref="Z36" r:id="rId28"/>
    <hyperlink xmlns:r="http://schemas.openxmlformats.org/officeDocument/2006/relationships" ref="Z37" r:id="rId29"/>
    <hyperlink xmlns:r="http://schemas.openxmlformats.org/officeDocument/2006/relationships" ref="Z42" r:id="rId30"/>
    <hyperlink xmlns:r="http://schemas.openxmlformats.org/officeDocument/2006/relationships" ref="Z50" r:id="rId31"/>
    <hyperlink xmlns:r="http://schemas.openxmlformats.org/officeDocument/2006/relationships" ref="Z52" r:id="rId32"/>
    <hyperlink xmlns:r="http://schemas.openxmlformats.org/officeDocument/2006/relationships" ref="Z53" r:id="rId33"/>
  </hyperlinks>
  <pageMargins left="0.75" right="0.75" top="1" bottom="1" header="0.5" footer="0.5"/>
</worksheet>
</file>

<file path=xl/worksheets/sheet3.xml><?xml version="1.0" encoding="utf-8"?>
<worksheet xmlns="http://schemas.openxmlformats.org/spreadsheetml/2006/main">
  <sheetPr>
    <tabColor rgb="001D7F5F"/>
    <outlinePr summaryBelow="1" summaryRight="1"/>
    <pageSetUpPr/>
  </sheetPr>
  <dimension ref="A1:L400"/>
  <sheetViews>
    <sheetView showGridLines="0" workbookViewId="0">
      <pane ySplit="9" topLeftCell="A10" activePane="bottomLeft" state="frozen"/>
      <selection pane="bottomLeft" activeCell="A1" sqref="A1"/>
    </sheetView>
  </sheetViews>
  <sheetFormatPr baseColWidth="8" defaultRowHeight="15"/>
  <cols>
    <col width="12" customWidth="1" min="1" max="1"/>
    <col width="10" customWidth="1" min="2" max="2"/>
    <col width="34" customWidth="1" min="3" max="3"/>
    <col width="22" customWidth="1" min="4" max="4"/>
    <col width="9" customWidth="1" min="5" max="5"/>
    <col width="14" customWidth="1" min="6" max="6"/>
    <col width="16" customWidth="1" min="7" max="7"/>
    <col width="14" customWidth="1" min="8" max="8"/>
    <col width="16" customWidth="1" min="9" max="9"/>
    <col width="30" customWidth="1" min="10" max="10"/>
    <col width="2" customWidth="1" min="11" max="11"/>
    <col width="14" customWidth="1" min="12" max="12"/>
  </cols>
  <sheetData>
    <row r="1">
      <c r="A1" s="19" t="inlineStr">
        <is>
          <t>Registro de gastos</t>
        </is>
      </c>
      <c r="B1" s="2" t="n"/>
      <c r="C1" s="2" t="n"/>
      <c r="D1" s="2" t="n"/>
      <c r="E1" s="2" t="n"/>
      <c r="F1" s="2" t="n"/>
      <c r="G1" s="2" t="n"/>
      <c r="H1" s="2" t="n"/>
      <c r="I1" s="2" t="n"/>
      <c r="J1" s="2" t="n"/>
      <c r="K1" s="2" t="n"/>
      <c r="L1" s="2" t="n"/>
    </row>
    <row r="2" ht="28" customHeight="1">
      <c r="A2" s="3" t="inlineStr">
        <is>
          <t>Una fila por pago. El ID enlaza con la lista de materiales: el 'Gastado real' de cada ítem y del resumen se calcula de aquí. Al terminar una compra, cambien el Estado del ítem a 'Comprado'.</t>
        </is>
      </c>
      <c r="B2" s="2" t="n"/>
      <c r="C2" s="2" t="n"/>
      <c r="D2" s="2" t="n"/>
      <c r="E2" s="2" t="n"/>
      <c r="F2" s="2" t="n"/>
      <c r="G2" s="2" t="n"/>
      <c r="H2" s="2" t="n"/>
      <c r="I2" s="2" t="n"/>
      <c r="J2" s="2" t="n"/>
      <c r="K2" s="2" t="n"/>
      <c r="L2" s="2" t="n"/>
    </row>
    <row r="3">
      <c r="A3" s="2" t="n"/>
      <c r="B3" s="2" t="n"/>
      <c r="C3" s="2" t="n"/>
      <c r="D3" s="2" t="n"/>
      <c r="E3" s="2" t="n"/>
      <c r="F3" s="2" t="n"/>
      <c r="G3" s="2" t="n"/>
      <c r="H3" s="2" t="n"/>
      <c r="I3" s="2" t="n"/>
      <c r="J3" s="2" t="n"/>
      <c r="K3" s="2" t="n"/>
      <c r="L3" s="2" t="n"/>
    </row>
    <row r="4">
      <c r="A4" s="4" t="inlineStr">
        <is>
          <t>Ejemplo de cómo llenar una fila (no se suma):</t>
        </is>
      </c>
      <c r="B4" s="2" t="n"/>
      <c r="C4" s="2" t="n"/>
      <c r="D4" s="2" t="n"/>
      <c r="E4" s="2" t="n"/>
      <c r="F4" s="2" t="n"/>
      <c r="G4" s="2" t="n"/>
      <c r="H4" s="2" t="n"/>
      <c r="I4" s="2" t="n"/>
      <c r="J4" s="2" t="n"/>
      <c r="K4" s="2" t="n"/>
      <c r="L4" s="2" t="n"/>
    </row>
    <row r="5">
      <c r="A5" s="34" t="inlineStr">
        <is>
          <t>Fecha</t>
        </is>
      </c>
      <c r="B5" s="34" t="inlineStr">
        <is>
          <t>ID ítem</t>
        </is>
      </c>
      <c r="C5" s="34" t="inlineStr">
        <is>
          <t>Componente</t>
        </is>
      </c>
      <c r="D5" s="34" t="inlineStr">
        <is>
          <t>Tienda</t>
        </is>
      </c>
      <c r="E5" s="34" t="inlineStr">
        <is>
          <t>Cantidad</t>
        </is>
      </c>
      <c r="F5" s="34" t="inlineStr">
        <is>
          <t>Monto pagado (USD)</t>
        </is>
      </c>
      <c r="G5" s="34" t="inlineStr">
        <is>
          <t>Pagó</t>
        </is>
      </c>
      <c r="H5" s="34" t="inlineStr">
        <is>
          <t>Método de pago</t>
        </is>
      </c>
      <c r="I5" s="34" t="inlineStr">
        <is>
          <t>Comprobante</t>
        </is>
      </c>
      <c r="J5" s="34" t="inlineStr">
        <is>
          <t>Notas</t>
        </is>
      </c>
      <c r="K5" s="2" t="n"/>
      <c r="L5" s="2" t="n"/>
    </row>
    <row r="6">
      <c r="A6" s="35" t="inlineStr">
        <is>
          <t>06/10/2026</t>
        </is>
      </c>
      <c r="B6" s="35" t="inlineStr">
        <is>
          <t>ELE-01</t>
        </is>
      </c>
      <c r="C6" s="35" t="inlineStr">
        <is>
          <t>Motor paso a paso NEMA 17, 40 mm</t>
        </is>
      </c>
      <c r="D6" s="35" t="inlineStr">
        <is>
          <t>Electrónica 2001</t>
        </is>
      </c>
      <c r="E6" s="35" t="n">
        <v>3</v>
      </c>
      <c r="F6" s="36" t="n">
        <v>36</v>
      </c>
      <c r="G6" s="35" t="inlineStr">
        <is>
          <t>Integrante 1</t>
        </is>
      </c>
      <c r="H6" s="35" t="inlineStr">
        <is>
          <t>Tarjeta</t>
        </is>
      </c>
      <c r="I6" s="35" t="inlineStr">
        <is>
          <t>Factura 1234</t>
        </is>
      </c>
      <c r="J6" s="35" t="inlineStr">
        <is>
          <t>Pedido para retirar</t>
        </is>
      </c>
      <c r="K6" s="2" t="n"/>
      <c r="L6" s="2" t="n"/>
    </row>
    <row r="7">
      <c r="A7" s="2" t="n"/>
      <c r="B7" s="2" t="n"/>
      <c r="C7" s="2" t="n"/>
      <c r="D7" s="2" t="n"/>
      <c r="E7" s="2" t="n"/>
      <c r="F7" s="2" t="n"/>
      <c r="G7" s="2" t="n"/>
      <c r="H7" s="2" t="n"/>
      <c r="I7" s="2" t="n"/>
      <c r="J7" s="2" t="n"/>
      <c r="K7" s="2" t="n"/>
      <c r="L7" s="2" t="n"/>
    </row>
    <row r="8">
      <c r="A8" s="4" t="inlineStr">
        <is>
          <t>Pagos del proyecto</t>
        </is>
      </c>
      <c r="B8" s="2" t="n"/>
      <c r="C8" s="2" t="n"/>
      <c r="D8" s="2" t="n"/>
      <c r="E8" s="2" t="n"/>
      <c r="F8" s="2" t="n"/>
      <c r="G8" s="2" t="n"/>
      <c r="H8" s="2" t="n"/>
      <c r="I8" s="2" t="n"/>
      <c r="J8" s="2" t="n"/>
      <c r="K8" s="2" t="n"/>
      <c r="L8" s="2" t="n"/>
    </row>
    <row r="9">
      <c r="A9" s="10" t="inlineStr">
        <is>
          <t>Fecha</t>
        </is>
      </c>
      <c r="B9" s="10" t="inlineStr">
        <is>
          <t>ID ítem</t>
        </is>
      </c>
      <c r="C9" s="10" t="inlineStr">
        <is>
          <t>Componente</t>
        </is>
      </c>
      <c r="D9" s="10" t="inlineStr">
        <is>
          <t>Tienda</t>
        </is>
      </c>
      <c r="E9" s="10" t="inlineStr">
        <is>
          <t>Cantidad</t>
        </is>
      </c>
      <c r="F9" s="10" t="inlineStr">
        <is>
          <t>Monto pagado (USD)</t>
        </is>
      </c>
      <c r="G9" s="10" t="inlineStr">
        <is>
          <t>Pagó</t>
        </is>
      </c>
      <c r="H9" s="10" t="inlineStr">
        <is>
          <t>Método de pago</t>
        </is>
      </c>
      <c r="I9" s="10" t="inlineStr">
        <is>
          <t>Comprobante</t>
        </is>
      </c>
      <c r="J9" s="10" t="inlineStr">
        <is>
          <t>Notas</t>
        </is>
      </c>
      <c r="K9" s="2" t="n"/>
      <c r="L9" s="4" t="inlineStr">
        <is>
          <t>Total pagado</t>
        </is>
      </c>
    </row>
    <row r="10">
      <c r="A10" s="37" t="n"/>
      <c r="B10" s="38" t="n"/>
      <c r="C10" s="39">
        <f>IF(B10="","",IFERROR(INDEX('Lista de materiales'!$C$5:$C$54,MATCH(B10,'Lista de materiales'!$A$5:$A$54,0)),"ID no existe"))</f>
        <v/>
      </c>
      <c r="D10" s="38" t="n"/>
      <c r="E10" s="38" t="n"/>
      <c r="F10" s="40" t="n"/>
      <c r="G10" s="38" t="n"/>
      <c r="H10" s="38" t="n"/>
      <c r="I10" s="38" t="n"/>
      <c r="J10" s="38" t="n"/>
      <c r="K10" s="2" t="n"/>
      <c r="L10" s="41">
        <f>SUM(F10:F400)</f>
        <v/>
      </c>
    </row>
    <row r="11">
      <c r="A11" s="37" t="n"/>
      <c r="B11" s="38" t="n"/>
      <c r="C11" s="39">
        <f>IF(B11="","",IFERROR(INDEX('Lista de materiales'!$C$5:$C$54,MATCH(B11,'Lista de materiales'!$A$5:$A$54,0)),"ID no existe"))</f>
        <v/>
      </c>
      <c r="D11" s="38" t="n"/>
      <c r="E11" s="38" t="n"/>
      <c r="F11" s="40" t="n"/>
      <c r="G11" s="38" t="n"/>
      <c r="H11" s="38" t="n"/>
      <c r="I11" s="38" t="n"/>
      <c r="J11" s="38" t="n"/>
      <c r="K11" s="2" t="n"/>
      <c r="L11" s="2" t="n"/>
    </row>
    <row r="12">
      <c r="A12" s="37" t="n"/>
      <c r="B12" s="38" t="n"/>
      <c r="C12" s="39">
        <f>IF(B12="","",IFERROR(INDEX('Lista de materiales'!$C$5:$C$54,MATCH(B12,'Lista de materiales'!$A$5:$A$54,0)),"ID no existe"))</f>
        <v/>
      </c>
      <c r="D12" s="38" t="n"/>
      <c r="E12" s="38" t="n"/>
      <c r="F12" s="40" t="n"/>
      <c r="G12" s="38" t="n"/>
      <c r="H12" s="38" t="n"/>
      <c r="I12" s="38" t="n"/>
      <c r="J12" s="38" t="n"/>
      <c r="K12" s="2" t="n"/>
      <c r="L12" s="2" t="n"/>
    </row>
    <row r="13">
      <c r="A13" s="37" t="n"/>
      <c r="B13" s="38" t="n"/>
      <c r="C13" s="39">
        <f>IF(B13="","",IFERROR(INDEX('Lista de materiales'!$C$5:$C$54,MATCH(B13,'Lista de materiales'!$A$5:$A$54,0)),"ID no existe"))</f>
        <v/>
      </c>
      <c r="D13" s="38" t="n"/>
      <c r="E13" s="38" t="n"/>
      <c r="F13" s="40" t="n"/>
      <c r="G13" s="38" t="n"/>
      <c r="H13" s="38" t="n"/>
      <c r="I13" s="38" t="n"/>
      <c r="J13" s="38" t="n"/>
      <c r="K13" s="2" t="n"/>
      <c r="L13" s="2" t="n"/>
    </row>
    <row r="14">
      <c r="A14" s="37" t="n"/>
      <c r="B14" s="38" t="n"/>
      <c r="C14" s="39">
        <f>IF(B14="","",IFERROR(INDEX('Lista de materiales'!$C$5:$C$54,MATCH(B14,'Lista de materiales'!$A$5:$A$54,0)),"ID no existe"))</f>
        <v/>
      </c>
      <c r="D14" s="38" t="n"/>
      <c r="E14" s="38" t="n"/>
      <c r="F14" s="40" t="n"/>
      <c r="G14" s="38" t="n"/>
      <c r="H14" s="38" t="n"/>
      <c r="I14" s="38" t="n"/>
      <c r="J14" s="38" t="n"/>
      <c r="K14" s="2" t="n"/>
      <c r="L14" s="2" t="n"/>
    </row>
    <row r="15">
      <c r="A15" s="37" t="n"/>
      <c r="B15" s="38" t="n"/>
      <c r="C15" s="39">
        <f>IF(B15="","",IFERROR(INDEX('Lista de materiales'!$C$5:$C$54,MATCH(B15,'Lista de materiales'!$A$5:$A$54,0)),"ID no existe"))</f>
        <v/>
      </c>
      <c r="D15" s="38" t="n"/>
      <c r="E15" s="38" t="n"/>
      <c r="F15" s="40" t="n"/>
      <c r="G15" s="38" t="n"/>
      <c r="H15" s="38" t="n"/>
      <c r="I15" s="38" t="n"/>
      <c r="J15" s="38" t="n"/>
      <c r="K15" s="2" t="n"/>
      <c r="L15" s="2" t="n"/>
    </row>
    <row r="16">
      <c r="A16" s="37" t="n"/>
      <c r="B16" s="38" t="n"/>
      <c r="C16" s="39">
        <f>IF(B16="","",IFERROR(INDEX('Lista de materiales'!$C$5:$C$54,MATCH(B16,'Lista de materiales'!$A$5:$A$54,0)),"ID no existe"))</f>
        <v/>
      </c>
      <c r="D16" s="38" t="n"/>
      <c r="E16" s="38" t="n"/>
      <c r="F16" s="40" t="n"/>
      <c r="G16" s="38" t="n"/>
      <c r="H16" s="38" t="n"/>
      <c r="I16" s="38" t="n"/>
      <c r="J16" s="38" t="n"/>
      <c r="K16" s="2" t="n"/>
      <c r="L16" s="2" t="n"/>
    </row>
    <row r="17">
      <c r="A17" s="37" t="n"/>
      <c r="B17" s="38" t="n"/>
      <c r="C17" s="39">
        <f>IF(B17="","",IFERROR(INDEX('Lista de materiales'!$C$5:$C$54,MATCH(B17,'Lista de materiales'!$A$5:$A$54,0)),"ID no existe"))</f>
        <v/>
      </c>
      <c r="D17" s="38" t="n"/>
      <c r="E17" s="38" t="n"/>
      <c r="F17" s="40" t="n"/>
      <c r="G17" s="38" t="n"/>
      <c r="H17" s="38" t="n"/>
      <c r="I17" s="38" t="n"/>
      <c r="J17" s="38" t="n"/>
      <c r="K17" s="2" t="n"/>
      <c r="L17" s="2" t="n"/>
    </row>
    <row r="18">
      <c r="A18" s="37" t="n"/>
      <c r="B18" s="38" t="n"/>
      <c r="C18" s="39">
        <f>IF(B18="","",IFERROR(INDEX('Lista de materiales'!$C$5:$C$54,MATCH(B18,'Lista de materiales'!$A$5:$A$54,0)),"ID no existe"))</f>
        <v/>
      </c>
      <c r="D18" s="38" t="n"/>
      <c r="E18" s="38" t="n"/>
      <c r="F18" s="40" t="n"/>
      <c r="G18" s="38" t="n"/>
      <c r="H18" s="38" t="n"/>
      <c r="I18" s="38" t="n"/>
      <c r="J18" s="38" t="n"/>
      <c r="K18" s="2" t="n"/>
      <c r="L18" s="2" t="n"/>
    </row>
    <row r="19">
      <c r="A19" s="37" t="n"/>
      <c r="B19" s="38" t="n"/>
      <c r="C19" s="39">
        <f>IF(B19="","",IFERROR(INDEX('Lista de materiales'!$C$5:$C$54,MATCH(B19,'Lista de materiales'!$A$5:$A$54,0)),"ID no existe"))</f>
        <v/>
      </c>
      <c r="D19" s="38" t="n"/>
      <c r="E19" s="38" t="n"/>
      <c r="F19" s="40" t="n"/>
      <c r="G19" s="38" t="n"/>
      <c r="H19" s="38" t="n"/>
      <c r="I19" s="38" t="n"/>
      <c r="J19" s="38" t="n"/>
      <c r="K19" s="2" t="n"/>
      <c r="L19" s="2" t="n"/>
    </row>
    <row r="20">
      <c r="A20" s="37" t="n"/>
      <c r="B20" s="38" t="n"/>
      <c r="C20" s="39">
        <f>IF(B20="","",IFERROR(INDEX('Lista de materiales'!$C$5:$C$54,MATCH(B20,'Lista de materiales'!$A$5:$A$54,0)),"ID no existe"))</f>
        <v/>
      </c>
      <c r="D20" s="38" t="n"/>
      <c r="E20" s="38" t="n"/>
      <c r="F20" s="40" t="n"/>
      <c r="G20" s="38" t="n"/>
      <c r="H20" s="38" t="n"/>
      <c r="I20" s="38" t="n"/>
      <c r="J20" s="38" t="n"/>
      <c r="K20" s="2" t="n"/>
      <c r="L20" s="2" t="n"/>
    </row>
    <row r="21">
      <c r="A21" s="37" t="n"/>
      <c r="B21" s="38" t="n"/>
      <c r="C21" s="39">
        <f>IF(B21="","",IFERROR(INDEX('Lista de materiales'!$C$5:$C$54,MATCH(B21,'Lista de materiales'!$A$5:$A$54,0)),"ID no existe"))</f>
        <v/>
      </c>
      <c r="D21" s="38" t="n"/>
      <c r="E21" s="38" t="n"/>
      <c r="F21" s="40" t="n"/>
      <c r="G21" s="38" t="n"/>
      <c r="H21" s="38" t="n"/>
      <c r="I21" s="38" t="n"/>
      <c r="J21" s="38" t="n"/>
      <c r="K21" s="2" t="n"/>
      <c r="L21" s="2" t="n"/>
    </row>
    <row r="22">
      <c r="A22" s="37" t="n"/>
      <c r="B22" s="38" t="n"/>
      <c r="C22" s="39">
        <f>IF(B22="","",IFERROR(INDEX('Lista de materiales'!$C$5:$C$54,MATCH(B22,'Lista de materiales'!$A$5:$A$54,0)),"ID no existe"))</f>
        <v/>
      </c>
      <c r="D22" s="38" t="n"/>
      <c r="E22" s="38" t="n"/>
      <c r="F22" s="40" t="n"/>
      <c r="G22" s="38" t="n"/>
      <c r="H22" s="38" t="n"/>
      <c r="I22" s="38" t="n"/>
      <c r="J22" s="38" t="n"/>
      <c r="K22" s="2" t="n"/>
      <c r="L22" s="2" t="n"/>
    </row>
    <row r="23">
      <c r="A23" s="37" t="n"/>
      <c r="B23" s="38" t="n"/>
      <c r="C23" s="39">
        <f>IF(B23="","",IFERROR(INDEX('Lista de materiales'!$C$5:$C$54,MATCH(B23,'Lista de materiales'!$A$5:$A$54,0)),"ID no existe"))</f>
        <v/>
      </c>
      <c r="D23" s="38" t="n"/>
      <c r="E23" s="38" t="n"/>
      <c r="F23" s="40" t="n"/>
      <c r="G23" s="38" t="n"/>
      <c r="H23" s="38" t="n"/>
      <c r="I23" s="38" t="n"/>
      <c r="J23" s="38" t="n"/>
      <c r="K23" s="2" t="n"/>
      <c r="L23" s="2" t="n"/>
    </row>
    <row r="24">
      <c r="A24" s="37" t="n"/>
      <c r="B24" s="38" t="n"/>
      <c r="C24" s="39">
        <f>IF(B24="","",IFERROR(INDEX('Lista de materiales'!$C$5:$C$54,MATCH(B24,'Lista de materiales'!$A$5:$A$54,0)),"ID no existe"))</f>
        <v/>
      </c>
      <c r="D24" s="38" t="n"/>
      <c r="E24" s="38" t="n"/>
      <c r="F24" s="40" t="n"/>
      <c r="G24" s="38" t="n"/>
      <c r="H24" s="38" t="n"/>
      <c r="I24" s="38" t="n"/>
      <c r="J24" s="38" t="n"/>
      <c r="K24" s="2" t="n"/>
      <c r="L24" s="2" t="n"/>
    </row>
    <row r="25">
      <c r="A25" s="37" t="n"/>
      <c r="B25" s="38" t="n"/>
      <c r="C25" s="39">
        <f>IF(B25="","",IFERROR(INDEX('Lista de materiales'!$C$5:$C$54,MATCH(B25,'Lista de materiales'!$A$5:$A$54,0)),"ID no existe"))</f>
        <v/>
      </c>
      <c r="D25" s="38" t="n"/>
      <c r="E25" s="38" t="n"/>
      <c r="F25" s="40" t="n"/>
      <c r="G25" s="38" t="n"/>
      <c r="H25" s="38" t="n"/>
      <c r="I25" s="38" t="n"/>
      <c r="J25" s="38" t="n"/>
      <c r="K25" s="2" t="n"/>
      <c r="L25" s="2" t="n"/>
    </row>
    <row r="26">
      <c r="A26" s="37" t="n"/>
      <c r="B26" s="38" t="n"/>
      <c r="C26" s="39">
        <f>IF(B26="","",IFERROR(INDEX('Lista de materiales'!$C$5:$C$54,MATCH(B26,'Lista de materiales'!$A$5:$A$54,0)),"ID no existe"))</f>
        <v/>
      </c>
      <c r="D26" s="38" t="n"/>
      <c r="E26" s="38" t="n"/>
      <c r="F26" s="40" t="n"/>
      <c r="G26" s="38" t="n"/>
      <c r="H26" s="38" t="n"/>
      <c r="I26" s="38" t="n"/>
      <c r="J26" s="38" t="n"/>
      <c r="K26" s="2" t="n"/>
      <c r="L26" s="2" t="n"/>
    </row>
    <row r="27">
      <c r="A27" s="37" t="n"/>
      <c r="B27" s="38" t="n"/>
      <c r="C27" s="39">
        <f>IF(B27="","",IFERROR(INDEX('Lista de materiales'!$C$5:$C$54,MATCH(B27,'Lista de materiales'!$A$5:$A$54,0)),"ID no existe"))</f>
        <v/>
      </c>
      <c r="D27" s="38" t="n"/>
      <c r="E27" s="38" t="n"/>
      <c r="F27" s="40" t="n"/>
      <c r="G27" s="38" t="n"/>
      <c r="H27" s="38" t="n"/>
      <c r="I27" s="38" t="n"/>
      <c r="J27" s="38" t="n"/>
      <c r="K27" s="2" t="n"/>
      <c r="L27" s="2" t="n"/>
    </row>
    <row r="28">
      <c r="A28" s="37" t="n"/>
      <c r="B28" s="38" t="n"/>
      <c r="C28" s="39">
        <f>IF(B28="","",IFERROR(INDEX('Lista de materiales'!$C$5:$C$54,MATCH(B28,'Lista de materiales'!$A$5:$A$54,0)),"ID no existe"))</f>
        <v/>
      </c>
      <c r="D28" s="38" t="n"/>
      <c r="E28" s="38" t="n"/>
      <c r="F28" s="40" t="n"/>
      <c r="G28" s="38" t="n"/>
      <c r="H28" s="38" t="n"/>
      <c r="I28" s="38" t="n"/>
      <c r="J28" s="38" t="n"/>
      <c r="K28" s="2" t="n"/>
      <c r="L28" s="2" t="n"/>
    </row>
    <row r="29">
      <c r="A29" s="37" t="n"/>
      <c r="B29" s="38" t="n"/>
      <c r="C29" s="39">
        <f>IF(B29="","",IFERROR(INDEX('Lista de materiales'!$C$5:$C$54,MATCH(B29,'Lista de materiales'!$A$5:$A$54,0)),"ID no existe"))</f>
        <v/>
      </c>
      <c r="D29" s="38" t="n"/>
      <c r="E29" s="38" t="n"/>
      <c r="F29" s="40" t="n"/>
      <c r="G29" s="38" t="n"/>
      <c r="H29" s="38" t="n"/>
      <c r="I29" s="38" t="n"/>
      <c r="J29" s="38" t="n"/>
      <c r="K29" s="2" t="n"/>
      <c r="L29" s="2" t="n"/>
    </row>
    <row r="30">
      <c r="A30" s="37" t="n"/>
      <c r="B30" s="38" t="n"/>
      <c r="C30" s="39">
        <f>IF(B30="","",IFERROR(INDEX('Lista de materiales'!$C$5:$C$54,MATCH(B30,'Lista de materiales'!$A$5:$A$54,0)),"ID no existe"))</f>
        <v/>
      </c>
      <c r="D30" s="38" t="n"/>
      <c r="E30" s="38" t="n"/>
      <c r="F30" s="40" t="n"/>
      <c r="G30" s="38" t="n"/>
      <c r="H30" s="38" t="n"/>
      <c r="I30" s="38" t="n"/>
      <c r="J30" s="38" t="n"/>
      <c r="K30" s="2" t="n"/>
      <c r="L30" s="2" t="n"/>
    </row>
    <row r="31">
      <c r="A31" s="37" t="n"/>
      <c r="B31" s="38" t="n"/>
      <c r="C31" s="39">
        <f>IF(B31="","",IFERROR(INDEX('Lista de materiales'!$C$5:$C$54,MATCH(B31,'Lista de materiales'!$A$5:$A$54,0)),"ID no existe"))</f>
        <v/>
      </c>
      <c r="D31" s="38" t="n"/>
      <c r="E31" s="38" t="n"/>
      <c r="F31" s="40" t="n"/>
      <c r="G31" s="38" t="n"/>
      <c r="H31" s="38" t="n"/>
      <c r="I31" s="38" t="n"/>
      <c r="J31" s="38" t="n"/>
      <c r="K31" s="2" t="n"/>
      <c r="L31" s="2" t="n"/>
    </row>
    <row r="32">
      <c r="A32" s="37" t="n"/>
      <c r="B32" s="38" t="n"/>
      <c r="C32" s="39">
        <f>IF(B32="","",IFERROR(INDEX('Lista de materiales'!$C$5:$C$54,MATCH(B32,'Lista de materiales'!$A$5:$A$54,0)),"ID no existe"))</f>
        <v/>
      </c>
      <c r="D32" s="38" t="n"/>
      <c r="E32" s="38" t="n"/>
      <c r="F32" s="40" t="n"/>
      <c r="G32" s="38" t="n"/>
      <c r="H32" s="38" t="n"/>
      <c r="I32" s="38" t="n"/>
      <c r="J32" s="38" t="n"/>
      <c r="K32" s="2" t="n"/>
      <c r="L32" s="2" t="n"/>
    </row>
    <row r="33">
      <c r="A33" s="37" t="n"/>
      <c r="B33" s="38" t="n"/>
      <c r="C33" s="39">
        <f>IF(B33="","",IFERROR(INDEX('Lista de materiales'!$C$5:$C$54,MATCH(B33,'Lista de materiales'!$A$5:$A$54,0)),"ID no existe"))</f>
        <v/>
      </c>
      <c r="D33" s="38" t="n"/>
      <c r="E33" s="38" t="n"/>
      <c r="F33" s="40" t="n"/>
      <c r="G33" s="38" t="n"/>
      <c r="H33" s="38" t="n"/>
      <c r="I33" s="38" t="n"/>
      <c r="J33" s="38" t="n"/>
      <c r="K33" s="2" t="n"/>
      <c r="L33" s="2" t="n"/>
    </row>
    <row r="34">
      <c r="A34" s="37" t="n"/>
      <c r="B34" s="38" t="n"/>
      <c r="C34" s="39">
        <f>IF(B34="","",IFERROR(INDEX('Lista de materiales'!$C$5:$C$54,MATCH(B34,'Lista de materiales'!$A$5:$A$54,0)),"ID no existe"))</f>
        <v/>
      </c>
      <c r="D34" s="38" t="n"/>
      <c r="E34" s="38" t="n"/>
      <c r="F34" s="40" t="n"/>
      <c r="G34" s="38" t="n"/>
      <c r="H34" s="38" t="n"/>
      <c r="I34" s="38" t="n"/>
      <c r="J34" s="38" t="n"/>
      <c r="K34" s="2" t="n"/>
      <c r="L34" s="2" t="n"/>
    </row>
    <row r="35">
      <c r="A35" s="37" t="n"/>
      <c r="B35" s="38" t="n"/>
      <c r="C35" s="39">
        <f>IF(B35="","",IFERROR(INDEX('Lista de materiales'!$C$5:$C$54,MATCH(B35,'Lista de materiales'!$A$5:$A$54,0)),"ID no existe"))</f>
        <v/>
      </c>
      <c r="D35" s="38" t="n"/>
      <c r="E35" s="38" t="n"/>
      <c r="F35" s="40" t="n"/>
      <c r="G35" s="38" t="n"/>
      <c r="H35" s="38" t="n"/>
      <c r="I35" s="38" t="n"/>
      <c r="J35" s="38" t="n"/>
      <c r="K35" s="2" t="n"/>
      <c r="L35" s="2" t="n"/>
    </row>
    <row r="36">
      <c r="A36" s="37" t="n"/>
      <c r="B36" s="38" t="n"/>
      <c r="C36" s="39">
        <f>IF(B36="","",IFERROR(INDEX('Lista de materiales'!$C$5:$C$54,MATCH(B36,'Lista de materiales'!$A$5:$A$54,0)),"ID no existe"))</f>
        <v/>
      </c>
      <c r="D36" s="38" t="n"/>
      <c r="E36" s="38" t="n"/>
      <c r="F36" s="40" t="n"/>
      <c r="G36" s="38" t="n"/>
      <c r="H36" s="38" t="n"/>
      <c r="I36" s="38" t="n"/>
      <c r="J36" s="38" t="n"/>
      <c r="K36" s="2" t="n"/>
      <c r="L36" s="2" t="n"/>
    </row>
    <row r="37">
      <c r="A37" s="37" t="n"/>
      <c r="B37" s="38" t="n"/>
      <c r="C37" s="39">
        <f>IF(B37="","",IFERROR(INDEX('Lista de materiales'!$C$5:$C$54,MATCH(B37,'Lista de materiales'!$A$5:$A$54,0)),"ID no existe"))</f>
        <v/>
      </c>
      <c r="D37" s="38" t="n"/>
      <c r="E37" s="38" t="n"/>
      <c r="F37" s="40" t="n"/>
      <c r="G37" s="38" t="n"/>
      <c r="H37" s="38" t="n"/>
      <c r="I37" s="38" t="n"/>
      <c r="J37" s="38" t="n"/>
      <c r="K37" s="2" t="n"/>
      <c r="L37" s="2" t="n"/>
    </row>
    <row r="38">
      <c r="A38" s="37" t="n"/>
      <c r="B38" s="38" t="n"/>
      <c r="C38" s="39">
        <f>IF(B38="","",IFERROR(INDEX('Lista de materiales'!$C$5:$C$54,MATCH(B38,'Lista de materiales'!$A$5:$A$54,0)),"ID no existe"))</f>
        <v/>
      </c>
      <c r="D38" s="38" t="n"/>
      <c r="E38" s="38" t="n"/>
      <c r="F38" s="40" t="n"/>
      <c r="G38" s="38" t="n"/>
      <c r="H38" s="38" t="n"/>
      <c r="I38" s="38" t="n"/>
      <c r="J38" s="38" t="n"/>
      <c r="K38" s="2" t="n"/>
      <c r="L38" s="2" t="n"/>
    </row>
    <row r="39">
      <c r="A39" s="37" t="n"/>
      <c r="B39" s="38" t="n"/>
      <c r="C39" s="39">
        <f>IF(B39="","",IFERROR(INDEX('Lista de materiales'!$C$5:$C$54,MATCH(B39,'Lista de materiales'!$A$5:$A$54,0)),"ID no existe"))</f>
        <v/>
      </c>
      <c r="D39" s="38" t="n"/>
      <c r="E39" s="38" t="n"/>
      <c r="F39" s="40" t="n"/>
      <c r="G39" s="38" t="n"/>
      <c r="H39" s="38" t="n"/>
      <c r="I39" s="38" t="n"/>
      <c r="J39" s="38" t="n"/>
      <c r="K39" s="2" t="n"/>
      <c r="L39" s="2" t="n"/>
    </row>
    <row r="40">
      <c r="A40" s="37" t="n"/>
      <c r="B40" s="38" t="n"/>
      <c r="C40" s="39">
        <f>IF(B40="","",IFERROR(INDEX('Lista de materiales'!$C$5:$C$54,MATCH(B40,'Lista de materiales'!$A$5:$A$54,0)),"ID no existe"))</f>
        <v/>
      </c>
      <c r="D40" s="38" t="n"/>
      <c r="E40" s="38" t="n"/>
      <c r="F40" s="40" t="n"/>
      <c r="G40" s="38" t="n"/>
      <c r="H40" s="38" t="n"/>
      <c r="I40" s="38" t="n"/>
      <c r="J40" s="38" t="n"/>
      <c r="K40" s="2" t="n"/>
      <c r="L40" s="2" t="n"/>
    </row>
    <row r="41">
      <c r="A41" s="37" t="n"/>
      <c r="B41" s="38" t="n"/>
      <c r="C41" s="39">
        <f>IF(B41="","",IFERROR(INDEX('Lista de materiales'!$C$5:$C$54,MATCH(B41,'Lista de materiales'!$A$5:$A$54,0)),"ID no existe"))</f>
        <v/>
      </c>
      <c r="D41" s="38" t="n"/>
      <c r="E41" s="38" t="n"/>
      <c r="F41" s="40" t="n"/>
      <c r="G41" s="38" t="n"/>
      <c r="H41" s="38" t="n"/>
      <c r="I41" s="38" t="n"/>
      <c r="J41" s="38" t="n"/>
      <c r="K41" s="2" t="n"/>
      <c r="L41" s="2" t="n"/>
    </row>
    <row r="42">
      <c r="A42" s="37" t="n"/>
      <c r="B42" s="38" t="n"/>
      <c r="C42" s="39">
        <f>IF(B42="","",IFERROR(INDEX('Lista de materiales'!$C$5:$C$54,MATCH(B42,'Lista de materiales'!$A$5:$A$54,0)),"ID no existe"))</f>
        <v/>
      </c>
      <c r="D42" s="38" t="n"/>
      <c r="E42" s="38" t="n"/>
      <c r="F42" s="40" t="n"/>
      <c r="G42" s="38" t="n"/>
      <c r="H42" s="38" t="n"/>
      <c r="I42" s="38" t="n"/>
      <c r="J42" s="38" t="n"/>
      <c r="K42" s="2" t="n"/>
      <c r="L42" s="2" t="n"/>
    </row>
    <row r="43">
      <c r="A43" s="37" t="n"/>
      <c r="B43" s="38" t="n"/>
      <c r="C43" s="39">
        <f>IF(B43="","",IFERROR(INDEX('Lista de materiales'!$C$5:$C$54,MATCH(B43,'Lista de materiales'!$A$5:$A$54,0)),"ID no existe"))</f>
        <v/>
      </c>
      <c r="D43" s="38" t="n"/>
      <c r="E43" s="38" t="n"/>
      <c r="F43" s="40" t="n"/>
      <c r="G43" s="38" t="n"/>
      <c r="H43" s="38" t="n"/>
      <c r="I43" s="38" t="n"/>
      <c r="J43" s="38" t="n"/>
      <c r="K43" s="2" t="n"/>
      <c r="L43" s="2" t="n"/>
    </row>
    <row r="44">
      <c r="A44" s="37" t="n"/>
      <c r="B44" s="38" t="n"/>
      <c r="C44" s="39">
        <f>IF(B44="","",IFERROR(INDEX('Lista de materiales'!$C$5:$C$54,MATCH(B44,'Lista de materiales'!$A$5:$A$54,0)),"ID no existe"))</f>
        <v/>
      </c>
      <c r="D44" s="38" t="n"/>
      <c r="E44" s="38" t="n"/>
      <c r="F44" s="40" t="n"/>
      <c r="G44" s="38" t="n"/>
      <c r="H44" s="38" t="n"/>
      <c r="I44" s="38" t="n"/>
      <c r="J44" s="38" t="n"/>
      <c r="K44" s="2" t="n"/>
      <c r="L44" s="2" t="n"/>
    </row>
    <row r="45">
      <c r="A45" s="37" t="n"/>
      <c r="B45" s="38" t="n"/>
      <c r="C45" s="39">
        <f>IF(B45="","",IFERROR(INDEX('Lista de materiales'!$C$5:$C$54,MATCH(B45,'Lista de materiales'!$A$5:$A$54,0)),"ID no existe"))</f>
        <v/>
      </c>
      <c r="D45" s="38" t="n"/>
      <c r="E45" s="38" t="n"/>
      <c r="F45" s="40" t="n"/>
      <c r="G45" s="38" t="n"/>
      <c r="H45" s="38" t="n"/>
      <c r="I45" s="38" t="n"/>
      <c r="J45" s="38" t="n"/>
      <c r="K45" s="2" t="n"/>
      <c r="L45" s="2" t="n"/>
    </row>
    <row r="46">
      <c r="A46" s="37" t="n"/>
      <c r="B46" s="38" t="n"/>
      <c r="C46" s="39">
        <f>IF(B46="","",IFERROR(INDEX('Lista de materiales'!$C$5:$C$54,MATCH(B46,'Lista de materiales'!$A$5:$A$54,0)),"ID no existe"))</f>
        <v/>
      </c>
      <c r="D46" s="38" t="n"/>
      <c r="E46" s="38" t="n"/>
      <c r="F46" s="40" t="n"/>
      <c r="G46" s="38" t="n"/>
      <c r="H46" s="38" t="n"/>
      <c r="I46" s="38" t="n"/>
      <c r="J46" s="38" t="n"/>
      <c r="K46" s="2" t="n"/>
      <c r="L46" s="2" t="n"/>
    </row>
    <row r="47">
      <c r="A47" s="37" t="n"/>
      <c r="B47" s="38" t="n"/>
      <c r="C47" s="39">
        <f>IF(B47="","",IFERROR(INDEX('Lista de materiales'!$C$5:$C$54,MATCH(B47,'Lista de materiales'!$A$5:$A$54,0)),"ID no existe"))</f>
        <v/>
      </c>
      <c r="D47" s="38" t="n"/>
      <c r="E47" s="38" t="n"/>
      <c r="F47" s="40" t="n"/>
      <c r="G47" s="38" t="n"/>
      <c r="H47" s="38" t="n"/>
      <c r="I47" s="38" t="n"/>
      <c r="J47" s="38" t="n"/>
      <c r="K47" s="2" t="n"/>
      <c r="L47" s="2" t="n"/>
    </row>
    <row r="48">
      <c r="A48" s="37" t="n"/>
      <c r="B48" s="38" t="n"/>
      <c r="C48" s="39">
        <f>IF(B48="","",IFERROR(INDEX('Lista de materiales'!$C$5:$C$54,MATCH(B48,'Lista de materiales'!$A$5:$A$54,0)),"ID no existe"))</f>
        <v/>
      </c>
      <c r="D48" s="38" t="n"/>
      <c r="E48" s="38" t="n"/>
      <c r="F48" s="40" t="n"/>
      <c r="G48" s="38" t="n"/>
      <c r="H48" s="38" t="n"/>
      <c r="I48" s="38" t="n"/>
      <c r="J48" s="38" t="n"/>
      <c r="K48" s="2" t="n"/>
      <c r="L48" s="2" t="n"/>
    </row>
    <row r="49">
      <c r="A49" s="37" t="n"/>
      <c r="B49" s="38" t="n"/>
      <c r="C49" s="39">
        <f>IF(B49="","",IFERROR(INDEX('Lista de materiales'!$C$5:$C$54,MATCH(B49,'Lista de materiales'!$A$5:$A$54,0)),"ID no existe"))</f>
        <v/>
      </c>
      <c r="D49" s="38" t="n"/>
      <c r="E49" s="38" t="n"/>
      <c r="F49" s="40" t="n"/>
      <c r="G49" s="38" t="n"/>
      <c r="H49" s="38" t="n"/>
      <c r="I49" s="38" t="n"/>
      <c r="J49" s="38" t="n"/>
      <c r="K49" s="2" t="n"/>
      <c r="L49" s="2" t="n"/>
    </row>
    <row r="50">
      <c r="A50" s="37" t="n"/>
      <c r="B50" s="38" t="n"/>
      <c r="C50" s="39">
        <f>IF(B50="","",IFERROR(INDEX('Lista de materiales'!$C$5:$C$54,MATCH(B50,'Lista de materiales'!$A$5:$A$54,0)),"ID no existe"))</f>
        <v/>
      </c>
      <c r="D50" s="38" t="n"/>
      <c r="E50" s="38" t="n"/>
      <c r="F50" s="40" t="n"/>
      <c r="G50" s="38" t="n"/>
      <c r="H50" s="38" t="n"/>
      <c r="I50" s="38" t="n"/>
      <c r="J50" s="38" t="n"/>
      <c r="K50" s="2" t="n"/>
      <c r="L50" s="2" t="n"/>
    </row>
    <row r="51">
      <c r="A51" s="37" t="n"/>
      <c r="B51" s="38" t="n"/>
      <c r="C51" s="39">
        <f>IF(B51="","",IFERROR(INDEX('Lista de materiales'!$C$5:$C$54,MATCH(B51,'Lista de materiales'!$A$5:$A$54,0)),"ID no existe"))</f>
        <v/>
      </c>
      <c r="D51" s="38" t="n"/>
      <c r="E51" s="38" t="n"/>
      <c r="F51" s="40" t="n"/>
      <c r="G51" s="38" t="n"/>
      <c r="H51" s="38" t="n"/>
      <c r="I51" s="38" t="n"/>
      <c r="J51" s="38" t="n"/>
      <c r="K51" s="2" t="n"/>
      <c r="L51" s="2" t="n"/>
    </row>
    <row r="52">
      <c r="A52" s="37" t="n"/>
      <c r="B52" s="38" t="n"/>
      <c r="C52" s="39">
        <f>IF(B52="","",IFERROR(INDEX('Lista de materiales'!$C$5:$C$54,MATCH(B52,'Lista de materiales'!$A$5:$A$54,0)),"ID no existe"))</f>
        <v/>
      </c>
      <c r="D52" s="38" t="n"/>
      <c r="E52" s="38" t="n"/>
      <c r="F52" s="40" t="n"/>
      <c r="G52" s="38" t="n"/>
      <c r="H52" s="38" t="n"/>
      <c r="I52" s="38" t="n"/>
      <c r="J52" s="38" t="n"/>
      <c r="K52" s="2" t="n"/>
      <c r="L52" s="2" t="n"/>
    </row>
    <row r="53">
      <c r="A53" s="37" t="n"/>
      <c r="B53" s="38" t="n"/>
      <c r="C53" s="39">
        <f>IF(B53="","",IFERROR(INDEX('Lista de materiales'!$C$5:$C$54,MATCH(B53,'Lista de materiales'!$A$5:$A$54,0)),"ID no existe"))</f>
        <v/>
      </c>
      <c r="D53" s="38" t="n"/>
      <c r="E53" s="38" t="n"/>
      <c r="F53" s="40" t="n"/>
      <c r="G53" s="38" t="n"/>
      <c r="H53" s="38" t="n"/>
      <c r="I53" s="38" t="n"/>
      <c r="J53" s="38" t="n"/>
      <c r="K53" s="2" t="n"/>
      <c r="L53" s="2" t="n"/>
    </row>
    <row r="54">
      <c r="A54" s="37" t="n"/>
      <c r="B54" s="38" t="n"/>
      <c r="C54" s="39">
        <f>IF(B54="","",IFERROR(INDEX('Lista de materiales'!$C$5:$C$54,MATCH(B54,'Lista de materiales'!$A$5:$A$54,0)),"ID no existe"))</f>
        <v/>
      </c>
      <c r="D54" s="38" t="n"/>
      <c r="E54" s="38" t="n"/>
      <c r="F54" s="40" t="n"/>
      <c r="G54" s="38" t="n"/>
      <c r="H54" s="38" t="n"/>
      <c r="I54" s="38" t="n"/>
      <c r="J54" s="38" t="n"/>
      <c r="K54" s="2" t="n"/>
      <c r="L54" s="2" t="n"/>
    </row>
    <row r="55">
      <c r="A55" s="37" t="n"/>
      <c r="B55" s="38" t="n"/>
      <c r="C55" s="39">
        <f>IF(B55="","",IFERROR(INDEX('Lista de materiales'!$C$5:$C$54,MATCH(B55,'Lista de materiales'!$A$5:$A$54,0)),"ID no existe"))</f>
        <v/>
      </c>
      <c r="D55" s="38" t="n"/>
      <c r="E55" s="38" t="n"/>
      <c r="F55" s="40" t="n"/>
      <c r="G55" s="38" t="n"/>
      <c r="H55" s="38" t="n"/>
      <c r="I55" s="38" t="n"/>
      <c r="J55" s="38" t="n"/>
      <c r="K55" s="2" t="n"/>
      <c r="L55" s="2" t="n"/>
    </row>
    <row r="56">
      <c r="A56" s="37" t="n"/>
      <c r="B56" s="38" t="n"/>
      <c r="C56" s="39">
        <f>IF(B56="","",IFERROR(INDEX('Lista de materiales'!$C$5:$C$54,MATCH(B56,'Lista de materiales'!$A$5:$A$54,0)),"ID no existe"))</f>
        <v/>
      </c>
      <c r="D56" s="38" t="n"/>
      <c r="E56" s="38" t="n"/>
      <c r="F56" s="40" t="n"/>
      <c r="G56" s="38" t="n"/>
      <c r="H56" s="38" t="n"/>
      <c r="I56" s="38" t="n"/>
      <c r="J56" s="38" t="n"/>
      <c r="K56" s="2" t="n"/>
      <c r="L56" s="2" t="n"/>
    </row>
    <row r="57">
      <c r="A57" s="37" t="n"/>
      <c r="B57" s="38" t="n"/>
      <c r="C57" s="39">
        <f>IF(B57="","",IFERROR(INDEX('Lista de materiales'!$C$5:$C$54,MATCH(B57,'Lista de materiales'!$A$5:$A$54,0)),"ID no existe"))</f>
        <v/>
      </c>
      <c r="D57" s="38" t="n"/>
      <c r="E57" s="38" t="n"/>
      <c r="F57" s="40" t="n"/>
      <c r="G57" s="38" t="n"/>
      <c r="H57" s="38" t="n"/>
      <c r="I57" s="38" t="n"/>
      <c r="J57" s="38" t="n"/>
      <c r="K57" s="2" t="n"/>
      <c r="L57" s="2" t="n"/>
    </row>
    <row r="58">
      <c r="A58" s="37" t="n"/>
      <c r="B58" s="38" t="n"/>
      <c r="C58" s="39">
        <f>IF(B58="","",IFERROR(INDEX('Lista de materiales'!$C$5:$C$54,MATCH(B58,'Lista de materiales'!$A$5:$A$54,0)),"ID no existe"))</f>
        <v/>
      </c>
      <c r="D58" s="38" t="n"/>
      <c r="E58" s="38" t="n"/>
      <c r="F58" s="40" t="n"/>
      <c r="G58" s="38" t="n"/>
      <c r="H58" s="38" t="n"/>
      <c r="I58" s="38" t="n"/>
      <c r="J58" s="38" t="n"/>
      <c r="K58" s="2" t="n"/>
      <c r="L58" s="2" t="n"/>
    </row>
    <row r="59">
      <c r="A59" s="37" t="n"/>
      <c r="B59" s="38" t="n"/>
      <c r="C59" s="39">
        <f>IF(B59="","",IFERROR(INDEX('Lista de materiales'!$C$5:$C$54,MATCH(B59,'Lista de materiales'!$A$5:$A$54,0)),"ID no existe"))</f>
        <v/>
      </c>
      <c r="D59" s="38" t="n"/>
      <c r="E59" s="38" t="n"/>
      <c r="F59" s="40" t="n"/>
      <c r="G59" s="38" t="n"/>
      <c r="H59" s="38" t="n"/>
      <c r="I59" s="38" t="n"/>
      <c r="J59" s="38" t="n"/>
      <c r="K59" s="2" t="n"/>
      <c r="L59" s="2" t="n"/>
    </row>
    <row r="60">
      <c r="A60" s="42" t="n"/>
      <c r="B60" s="43" t="n"/>
      <c r="C60" s="5">
        <f>IF(B60="","",IFERROR(INDEX('Lista de materiales'!$C$5:$C$54,MATCH(B60,'Lista de materiales'!$A$5:$A$54,0)),"ID no existe"))</f>
        <v/>
      </c>
      <c r="D60" s="43" t="n"/>
      <c r="E60" s="43" t="n"/>
      <c r="F60" s="44" t="n"/>
      <c r="G60" s="43" t="n"/>
      <c r="H60" s="43" t="n"/>
      <c r="I60" s="43" t="n"/>
      <c r="J60" s="43" t="n"/>
      <c r="K60" s="2" t="n"/>
      <c r="L60" s="2" t="n"/>
    </row>
    <row r="61">
      <c r="A61" s="42" t="n"/>
      <c r="B61" s="43" t="n"/>
      <c r="C61" s="5">
        <f>IF(B61="","",IFERROR(INDEX('Lista de materiales'!$C$5:$C$54,MATCH(B61,'Lista de materiales'!$A$5:$A$54,0)),"ID no existe"))</f>
        <v/>
      </c>
      <c r="D61" s="43" t="n"/>
      <c r="E61" s="43" t="n"/>
      <c r="F61" s="44" t="n"/>
      <c r="G61" s="43" t="n"/>
      <c r="H61" s="43" t="n"/>
      <c r="I61" s="43" t="n"/>
      <c r="J61" s="43" t="n"/>
      <c r="K61" s="2" t="n"/>
      <c r="L61" s="2" t="n"/>
    </row>
    <row r="62">
      <c r="A62" s="42" t="n"/>
      <c r="B62" s="43" t="n"/>
      <c r="C62" s="5">
        <f>IF(B62="","",IFERROR(INDEX('Lista de materiales'!$C$5:$C$54,MATCH(B62,'Lista de materiales'!$A$5:$A$54,0)),"ID no existe"))</f>
        <v/>
      </c>
      <c r="D62" s="43" t="n"/>
      <c r="E62" s="43" t="n"/>
      <c r="F62" s="44" t="n"/>
      <c r="G62" s="43" t="n"/>
      <c r="H62" s="43" t="n"/>
      <c r="I62" s="43" t="n"/>
      <c r="J62" s="43" t="n"/>
      <c r="K62" s="2" t="n"/>
      <c r="L62" s="2" t="n"/>
    </row>
    <row r="63">
      <c r="A63" s="42" t="n"/>
      <c r="B63" s="43" t="n"/>
      <c r="C63" s="5">
        <f>IF(B63="","",IFERROR(INDEX('Lista de materiales'!$C$5:$C$54,MATCH(B63,'Lista de materiales'!$A$5:$A$54,0)),"ID no existe"))</f>
        <v/>
      </c>
      <c r="D63" s="43" t="n"/>
      <c r="E63" s="43" t="n"/>
      <c r="F63" s="44" t="n"/>
      <c r="G63" s="43" t="n"/>
      <c r="H63" s="43" t="n"/>
      <c r="I63" s="43" t="n"/>
      <c r="J63" s="43" t="n"/>
      <c r="K63" s="2" t="n"/>
      <c r="L63" s="2" t="n"/>
    </row>
    <row r="64">
      <c r="A64" s="42" t="n"/>
      <c r="B64" s="43" t="n"/>
      <c r="C64" s="5">
        <f>IF(B64="","",IFERROR(INDEX('Lista de materiales'!$C$5:$C$54,MATCH(B64,'Lista de materiales'!$A$5:$A$54,0)),"ID no existe"))</f>
        <v/>
      </c>
      <c r="D64" s="43" t="n"/>
      <c r="E64" s="43" t="n"/>
      <c r="F64" s="44" t="n"/>
      <c r="G64" s="43" t="n"/>
      <c r="H64" s="43" t="n"/>
      <c r="I64" s="43" t="n"/>
      <c r="J64" s="43" t="n"/>
      <c r="K64" s="2" t="n"/>
      <c r="L64" s="2" t="n"/>
    </row>
    <row r="65">
      <c r="A65" s="42" t="n"/>
      <c r="B65" s="43" t="n"/>
      <c r="C65" s="5">
        <f>IF(B65="","",IFERROR(INDEX('Lista de materiales'!$C$5:$C$54,MATCH(B65,'Lista de materiales'!$A$5:$A$54,0)),"ID no existe"))</f>
        <v/>
      </c>
      <c r="D65" s="43" t="n"/>
      <c r="E65" s="43" t="n"/>
      <c r="F65" s="44" t="n"/>
      <c r="G65" s="43" t="n"/>
      <c r="H65" s="43" t="n"/>
      <c r="I65" s="43" t="n"/>
      <c r="J65" s="43" t="n"/>
      <c r="K65" s="2" t="n"/>
      <c r="L65" s="2" t="n"/>
    </row>
    <row r="66">
      <c r="A66" s="42" t="n"/>
      <c r="B66" s="43" t="n"/>
      <c r="C66" s="5">
        <f>IF(B66="","",IFERROR(INDEX('Lista de materiales'!$C$5:$C$54,MATCH(B66,'Lista de materiales'!$A$5:$A$54,0)),"ID no existe"))</f>
        <v/>
      </c>
      <c r="D66" s="43" t="n"/>
      <c r="E66" s="43" t="n"/>
      <c r="F66" s="44" t="n"/>
      <c r="G66" s="43" t="n"/>
      <c r="H66" s="43" t="n"/>
      <c r="I66" s="43" t="n"/>
      <c r="J66" s="43" t="n"/>
      <c r="K66" s="2" t="n"/>
      <c r="L66" s="2" t="n"/>
    </row>
    <row r="67">
      <c r="A67" s="42" t="n"/>
      <c r="B67" s="43" t="n"/>
      <c r="C67" s="5">
        <f>IF(B67="","",IFERROR(INDEX('Lista de materiales'!$C$5:$C$54,MATCH(B67,'Lista de materiales'!$A$5:$A$54,0)),"ID no existe"))</f>
        <v/>
      </c>
      <c r="D67" s="43" t="n"/>
      <c r="E67" s="43" t="n"/>
      <c r="F67" s="44" t="n"/>
      <c r="G67" s="43" t="n"/>
      <c r="H67" s="43" t="n"/>
      <c r="I67" s="43" t="n"/>
      <c r="J67" s="43" t="n"/>
      <c r="K67" s="2" t="n"/>
      <c r="L67" s="2" t="n"/>
    </row>
    <row r="68">
      <c r="A68" s="42" t="n"/>
      <c r="B68" s="43" t="n"/>
      <c r="C68" s="5">
        <f>IF(B68="","",IFERROR(INDEX('Lista de materiales'!$C$5:$C$54,MATCH(B68,'Lista de materiales'!$A$5:$A$54,0)),"ID no existe"))</f>
        <v/>
      </c>
      <c r="D68" s="43" t="n"/>
      <c r="E68" s="43" t="n"/>
      <c r="F68" s="44" t="n"/>
      <c r="G68" s="43" t="n"/>
      <c r="H68" s="43" t="n"/>
      <c r="I68" s="43" t="n"/>
      <c r="J68" s="43" t="n"/>
      <c r="K68" s="2" t="n"/>
      <c r="L68" s="2" t="n"/>
    </row>
    <row r="69">
      <c r="A69" s="42" t="n"/>
      <c r="B69" s="43" t="n"/>
      <c r="C69" s="5">
        <f>IF(B69="","",IFERROR(INDEX('Lista de materiales'!$C$5:$C$54,MATCH(B69,'Lista de materiales'!$A$5:$A$54,0)),"ID no existe"))</f>
        <v/>
      </c>
      <c r="D69" s="43" t="n"/>
      <c r="E69" s="43" t="n"/>
      <c r="F69" s="44" t="n"/>
      <c r="G69" s="43" t="n"/>
      <c r="H69" s="43" t="n"/>
      <c r="I69" s="43" t="n"/>
      <c r="J69" s="43" t="n"/>
      <c r="K69" s="2" t="n"/>
      <c r="L69" s="2" t="n"/>
    </row>
    <row r="70">
      <c r="A70" s="42" t="n"/>
      <c r="B70" s="43" t="n"/>
      <c r="C70" s="5">
        <f>IF(B70="","",IFERROR(INDEX('Lista de materiales'!$C$5:$C$54,MATCH(B70,'Lista de materiales'!$A$5:$A$54,0)),"ID no existe"))</f>
        <v/>
      </c>
      <c r="D70" s="43" t="n"/>
      <c r="E70" s="43" t="n"/>
      <c r="F70" s="44" t="n"/>
      <c r="G70" s="43" t="n"/>
      <c r="H70" s="43" t="n"/>
      <c r="I70" s="43" t="n"/>
      <c r="J70" s="43" t="n"/>
      <c r="K70" s="2" t="n"/>
      <c r="L70" s="2" t="n"/>
    </row>
    <row r="71">
      <c r="A71" s="42" t="n"/>
      <c r="B71" s="43" t="n"/>
      <c r="C71" s="5">
        <f>IF(B71="","",IFERROR(INDEX('Lista de materiales'!$C$5:$C$54,MATCH(B71,'Lista de materiales'!$A$5:$A$54,0)),"ID no existe"))</f>
        <v/>
      </c>
      <c r="D71" s="43" t="n"/>
      <c r="E71" s="43" t="n"/>
      <c r="F71" s="44" t="n"/>
      <c r="G71" s="43" t="n"/>
      <c r="H71" s="43" t="n"/>
      <c r="I71" s="43" t="n"/>
      <c r="J71" s="43" t="n"/>
      <c r="K71" s="2" t="n"/>
      <c r="L71" s="2" t="n"/>
    </row>
    <row r="72">
      <c r="A72" s="42" t="n"/>
      <c r="B72" s="43" t="n"/>
      <c r="C72" s="5">
        <f>IF(B72="","",IFERROR(INDEX('Lista de materiales'!$C$5:$C$54,MATCH(B72,'Lista de materiales'!$A$5:$A$54,0)),"ID no existe"))</f>
        <v/>
      </c>
      <c r="D72" s="43" t="n"/>
      <c r="E72" s="43" t="n"/>
      <c r="F72" s="44" t="n"/>
      <c r="G72" s="43" t="n"/>
      <c r="H72" s="43" t="n"/>
      <c r="I72" s="43" t="n"/>
      <c r="J72" s="43" t="n"/>
      <c r="K72" s="2" t="n"/>
      <c r="L72" s="2" t="n"/>
    </row>
    <row r="73">
      <c r="A73" s="42" t="n"/>
      <c r="B73" s="43" t="n"/>
      <c r="C73" s="5">
        <f>IF(B73="","",IFERROR(INDEX('Lista de materiales'!$C$5:$C$54,MATCH(B73,'Lista de materiales'!$A$5:$A$54,0)),"ID no existe"))</f>
        <v/>
      </c>
      <c r="D73" s="43" t="n"/>
      <c r="E73" s="43" t="n"/>
      <c r="F73" s="44" t="n"/>
      <c r="G73" s="43" t="n"/>
      <c r="H73" s="43" t="n"/>
      <c r="I73" s="43" t="n"/>
      <c r="J73" s="43" t="n"/>
      <c r="K73" s="2" t="n"/>
      <c r="L73" s="2" t="n"/>
    </row>
    <row r="74">
      <c r="A74" s="42" t="n"/>
      <c r="B74" s="43" t="n"/>
      <c r="C74" s="5">
        <f>IF(B74="","",IFERROR(INDEX('Lista de materiales'!$C$5:$C$54,MATCH(B74,'Lista de materiales'!$A$5:$A$54,0)),"ID no existe"))</f>
        <v/>
      </c>
      <c r="D74" s="43" t="n"/>
      <c r="E74" s="43" t="n"/>
      <c r="F74" s="44" t="n"/>
      <c r="G74" s="43" t="n"/>
      <c r="H74" s="43" t="n"/>
      <c r="I74" s="43" t="n"/>
      <c r="J74" s="43" t="n"/>
      <c r="K74" s="2" t="n"/>
      <c r="L74" s="2" t="n"/>
    </row>
    <row r="75">
      <c r="A75" s="42" t="n"/>
      <c r="B75" s="43" t="n"/>
      <c r="C75" s="5">
        <f>IF(B75="","",IFERROR(INDEX('Lista de materiales'!$C$5:$C$54,MATCH(B75,'Lista de materiales'!$A$5:$A$54,0)),"ID no existe"))</f>
        <v/>
      </c>
      <c r="D75" s="43" t="n"/>
      <c r="E75" s="43" t="n"/>
      <c r="F75" s="44" t="n"/>
      <c r="G75" s="43" t="n"/>
      <c r="H75" s="43" t="n"/>
      <c r="I75" s="43" t="n"/>
      <c r="J75" s="43" t="n"/>
      <c r="K75" s="2" t="n"/>
      <c r="L75" s="2" t="n"/>
    </row>
    <row r="76">
      <c r="A76" s="42" t="n"/>
      <c r="B76" s="43" t="n"/>
      <c r="C76" s="5">
        <f>IF(B76="","",IFERROR(INDEX('Lista de materiales'!$C$5:$C$54,MATCH(B76,'Lista de materiales'!$A$5:$A$54,0)),"ID no existe"))</f>
        <v/>
      </c>
      <c r="D76" s="43" t="n"/>
      <c r="E76" s="43" t="n"/>
      <c r="F76" s="44" t="n"/>
      <c r="G76" s="43" t="n"/>
      <c r="H76" s="43" t="n"/>
      <c r="I76" s="43" t="n"/>
      <c r="J76" s="43" t="n"/>
      <c r="K76" s="2" t="n"/>
      <c r="L76" s="2" t="n"/>
    </row>
    <row r="77">
      <c r="A77" s="42" t="n"/>
      <c r="B77" s="43" t="n"/>
      <c r="C77" s="5">
        <f>IF(B77="","",IFERROR(INDEX('Lista de materiales'!$C$5:$C$54,MATCH(B77,'Lista de materiales'!$A$5:$A$54,0)),"ID no existe"))</f>
        <v/>
      </c>
      <c r="D77" s="43" t="n"/>
      <c r="E77" s="43" t="n"/>
      <c r="F77" s="44" t="n"/>
      <c r="G77" s="43" t="n"/>
      <c r="H77" s="43" t="n"/>
      <c r="I77" s="43" t="n"/>
      <c r="J77" s="43" t="n"/>
      <c r="K77" s="2" t="n"/>
      <c r="L77" s="2" t="n"/>
    </row>
    <row r="78">
      <c r="A78" s="42" t="n"/>
      <c r="B78" s="43" t="n"/>
      <c r="C78" s="5">
        <f>IF(B78="","",IFERROR(INDEX('Lista de materiales'!$C$5:$C$54,MATCH(B78,'Lista de materiales'!$A$5:$A$54,0)),"ID no existe"))</f>
        <v/>
      </c>
      <c r="D78" s="43" t="n"/>
      <c r="E78" s="43" t="n"/>
      <c r="F78" s="44" t="n"/>
      <c r="G78" s="43" t="n"/>
      <c r="H78" s="43" t="n"/>
      <c r="I78" s="43" t="n"/>
      <c r="J78" s="43" t="n"/>
      <c r="K78" s="2" t="n"/>
      <c r="L78" s="2" t="n"/>
    </row>
    <row r="79">
      <c r="A79" s="42" t="n"/>
      <c r="B79" s="43" t="n"/>
      <c r="C79" s="5">
        <f>IF(B79="","",IFERROR(INDEX('Lista de materiales'!$C$5:$C$54,MATCH(B79,'Lista de materiales'!$A$5:$A$54,0)),"ID no existe"))</f>
        <v/>
      </c>
      <c r="D79" s="43" t="n"/>
      <c r="E79" s="43" t="n"/>
      <c r="F79" s="44" t="n"/>
      <c r="G79" s="43" t="n"/>
      <c r="H79" s="43" t="n"/>
      <c r="I79" s="43" t="n"/>
      <c r="J79" s="43" t="n"/>
      <c r="K79" s="2" t="n"/>
      <c r="L79" s="2" t="n"/>
    </row>
    <row r="80">
      <c r="A80" s="42" t="n"/>
      <c r="B80" s="43" t="n"/>
      <c r="C80" s="5">
        <f>IF(B80="","",IFERROR(INDEX('Lista de materiales'!$C$5:$C$54,MATCH(B80,'Lista de materiales'!$A$5:$A$54,0)),"ID no existe"))</f>
        <v/>
      </c>
      <c r="D80" s="43" t="n"/>
      <c r="E80" s="43" t="n"/>
      <c r="F80" s="44" t="n"/>
      <c r="G80" s="43" t="n"/>
      <c r="H80" s="43" t="n"/>
      <c r="I80" s="43" t="n"/>
      <c r="J80" s="43" t="n"/>
      <c r="K80" s="2" t="n"/>
      <c r="L80" s="2" t="n"/>
    </row>
    <row r="81">
      <c r="A81" s="42" t="n"/>
      <c r="B81" s="43" t="n"/>
      <c r="C81" s="5">
        <f>IF(B81="","",IFERROR(INDEX('Lista de materiales'!$C$5:$C$54,MATCH(B81,'Lista de materiales'!$A$5:$A$54,0)),"ID no existe"))</f>
        <v/>
      </c>
      <c r="D81" s="43" t="n"/>
      <c r="E81" s="43" t="n"/>
      <c r="F81" s="44" t="n"/>
      <c r="G81" s="43" t="n"/>
      <c r="H81" s="43" t="n"/>
      <c r="I81" s="43" t="n"/>
      <c r="J81" s="43" t="n"/>
      <c r="K81" s="2" t="n"/>
      <c r="L81" s="2" t="n"/>
    </row>
    <row r="82">
      <c r="A82" s="42" t="n"/>
      <c r="B82" s="43" t="n"/>
      <c r="C82" s="5">
        <f>IF(B82="","",IFERROR(INDEX('Lista de materiales'!$C$5:$C$54,MATCH(B82,'Lista de materiales'!$A$5:$A$54,0)),"ID no existe"))</f>
        <v/>
      </c>
      <c r="D82" s="43" t="n"/>
      <c r="E82" s="43" t="n"/>
      <c r="F82" s="44" t="n"/>
      <c r="G82" s="43" t="n"/>
      <c r="H82" s="43" t="n"/>
      <c r="I82" s="43" t="n"/>
      <c r="J82" s="43" t="n"/>
      <c r="K82" s="2" t="n"/>
      <c r="L82" s="2" t="n"/>
    </row>
    <row r="83">
      <c r="A83" s="42" t="n"/>
      <c r="B83" s="43" t="n"/>
      <c r="C83" s="5">
        <f>IF(B83="","",IFERROR(INDEX('Lista de materiales'!$C$5:$C$54,MATCH(B83,'Lista de materiales'!$A$5:$A$54,0)),"ID no existe"))</f>
        <v/>
      </c>
      <c r="D83" s="43" t="n"/>
      <c r="E83" s="43" t="n"/>
      <c r="F83" s="44" t="n"/>
      <c r="G83" s="43" t="n"/>
      <c r="H83" s="43" t="n"/>
      <c r="I83" s="43" t="n"/>
      <c r="J83" s="43" t="n"/>
      <c r="K83" s="2" t="n"/>
      <c r="L83" s="2" t="n"/>
    </row>
    <row r="84">
      <c r="A84" s="42" t="n"/>
      <c r="B84" s="43" t="n"/>
      <c r="C84" s="5">
        <f>IF(B84="","",IFERROR(INDEX('Lista de materiales'!$C$5:$C$54,MATCH(B84,'Lista de materiales'!$A$5:$A$54,0)),"ID no existe"))</f>
        <v/>
      </c>
      <c r="D84" s="43" t="n"/>
      <c r="E84" s="43" t="n"/>
      <c r="F84" s="44" t="n"/>
      <c r="G84" s="43" t="n"/>
      <c r="H84" s="43" t="n"/>
      <c r="I84" s="43" t="n"/>
      <c r="J84" s="43" t="n"/>
      <c r="K84" s="2" t="n"/>
      <c r="L84" s="2" t="n"/>
    </row>
    <row r="85">
      <c r="A85" s="42" t="n"/>
      <c r="B85" s="43" t="n"/>
      <c r="C85" s="5">
        <f>IF(B85="","",IFERROR(INDEX('Lista de materiales'!$C$5:$C$54,MATCH(B85,'Lista de materiales'!$A$5:$A$54,0)),"ID no existe"))</f>
        <v/>
      </c>
      <c r="D85" s="43" t="n"/>
      <c r="E85" s="43" t="n"/>
      <c r="F85" s="44" t="n"/>
      <c r="G85" s="43" t="n"/>
      <c r="H85" s="43" t="n"/>
      <c r="I85" s="43" t="n"/>
      <c r="J85" s="43" t="n"/>
      <c r="K85" s="2" t="n"/>
      <c r="L85" s="2" t="n"/>
    </row>
    <row r="86">
      <c r="A86" s="42" t="n"/>
      <c r="B86" s="43" t="n"/>
      <c r="C86" s="5">
        <f>IF(B86="","",IFERROR(INDEX('Lista de materiales'!$C$5:$C$54,MATCH(B86,'Lista de materiales'!$A$5:$A$54,0)),"ID no existe"))</f>
        <v/>
      </c>
      <c r="D86" s="43" t="n"/>
      <c r="E86" s="43" t="n"/>
      <c r="F86" s="44" t="n"/>
      <c r="G86" s="43" t="n"/>
      <c r="H86" s="43" t="n"/>
      <c r="I86" s="43" t="n"/>
      <c r="J86" s="43" t="n"/>
      <c r="K86" s="2" t="n"/>
      <c r="L86" s="2" t="n"/>
    </row>
    <row r="87">
      <c r="A87" s="42" t="n"/>
      <c r="B87" s="43" t="n"/>
      <c r="C87" s="5">
        <f>IF(B87="","",IFERROR(INDEX('Lista de materiales'!$C$5:$C$54,MATCH(B87,'Lista de materiales'!$A$5:$A$54,0)),"ID no existe"))</f>
        <v/>
      </c>
      <c r="D87" s="43" t="n"/>
      <c r="E87" s="43" t="n"/>
      <c r="F87" s="44" t="n"/>
      <c r="G87" s="43" t="n"/>
      <c r="H87" s="43" t="n"/>
      <c r="I87" s="43" t="n"/>
      <c r="J87" s="43" t="n"/>
      <c r="K87" s="2" t="n"/>
      <c r="L87" s="2" t="n"/>
    </row>
    <row r="88">
      <c r="A88" s="42" t="n"/>
      <c r="B88" s="43" t="n"/>
      <c r="C88" s="5">
        <f>IF(B88="","",IFERROR(INDEX('Lista de materiales'!$C$5:$C$54,MATCH(B88,'Lista de materiales'!$A$5:$A$54,0)),"ID no existe"))</f>
        <v/>
      </c>
      <c r="D88" s="43" t="n"/>
      <c r="E88" s="43" t="n"/>
      <c r="F88" s="44" t="n"/>
      <c r="G88" s="43" t="n"/>
      <c r="H88" s="43" t="n"/>
      <c r="I88" s="43" t="n"/>
      <c r="J88" s="43" t="n"/>
      <c r="K88" s="2" t="n"/>
      <c r="L88" s="2" t="n"/>
    </row>
    <row r="89">
      <c r="A89" s="42" t="n"/>
      <c r="B89" s="43" t="n"/>
      <c r="C89" s="5">
        <f>IF(B89="","",IFERROR(INDEX('Lista de materiales'!$C$5:$C$54,MATCH(B89,'Lista de materiales'!$A$5:$A$54,0)),"ID no existe"))</f>
        <v/>
      </c>
      <c r="D89" s="43" t="n"/>
      <c r="E89" s="43" t="n"/>
      <c r="F89" s="44" t="n"/>
      <c r="G89" s="43" t="n"/>
      <c r="H89" s="43" t="n"/>
      <c r="I89" s="43" t="n"/>
      <c r="J89" s="43" t="n"/>
      <c r="K89" s="2" t="n"/>
      <c r="L89" s="2" t="n"/>
    </row>
    <row r="90">
      <c r="A90" s="42" t="n"/>
      <c r="B90" s="43" t="n"/>
      <c r="C90" s="5">
        <f>IF(B90="","",IFERROR(INDEX('Lista de materiales'!$C$5:$C$54,MATCH(B90,'Lista de materiales'!$A$5:$A$54,0)),"ID no existe"))</f>
        <v/>
      </c>
      <c r="D90" s="43" t="n"/>
      <c r="E90" s="43" t="n"/>
      <c r="F90" s="44" t="n"/>
      <c r="G90" s="43" t="n"/>
      <c r="H90" s="43" t="n"/>
      <c r="I90" s="43" t="n"/>
      <c r="J90" s="43" t="n"/>
      <c r="K90" s="2" t="n"/>
      <c r="L90" s="2" t="n"/>
    </row>
    <row r="91">
      <c r="A91" s="42" t="n"/>
      <c r="B91" s="43" t="n"/>
      <c r="C91" s="5">
        <f>IF(B91="","",IFERROR(INDEX('Lista de materiales'!$C$5:$C$54,MATCH(B91,'Lista de materiales'!$A$5:$A$54,0)),"ID no existe"))</f>
        <v/>
      </c>
      <c r="D91" s="43" t="n"/>
      <c r="E91" s="43" t="n"/>
      <c r="F91" s="44" t="n"/>
      <c r="G91" s="43" t="n"/>
      <c r="H91" s="43" t="n"/>
      <c r="I91" s="43" t="n"/>
      <c r="J91" s="43" t="n"/>
      <c r="K91" s="2" t="n"/>
      <c r="L91" s="2" t="n"/>
    </row>
    <row r="92">
      <c r="A92" s="42" t="n"/>
      <c r="B92" s="43" t="n"/>
      <c r="C92" s="5">
        <f>IF(B92="","",IFERROR(INDEX('Lista de materiales'!$C$5:$C$54,MATCH(B92,'Lista de materiales'!$A$5:$A$54,0)),"ID no existe"))</f>
        <v/>
      </c>
      <c r="D92" s="43" t="n"/>
      <c r="E92" s="43" t="n"/>
      <c r="F92" s="44" t="n"/>
      <c r="G92" s="43" t="n"/>
      <c r="H92" s="43" t="n"/>
      <c r="I92" s="43" t="n"/>
      <c r="J92" s="43" t="n"/>
      <c r="K92" s="2" t="n"/>
      <c r="L92" s="2" t="n"/>
    </row>
    <row r="93">
      <c r="A93" s="42" t="n"/>
      <c r="B93" s="43" t="n"/>
      <c r="C93" s="5">
        <f>IF(B93="","",IFERROR(INDEX('Lista de materiales'!$C$5:$C$54,MATCH(B93,'Lista de materiales'!$A$5:$A$54,0)),"ID no existe"))</f>
        <v/>
      </c>
      <c r="D93" s="43" t="n"/>
      <c r="E93" s="43" t="n"/>
      <c r="F93" s="44" t="n"/>
      <c r="G93" s="43" t="n"/>
      <c r="H93" s="43" t="n"/>
      <c r="I93" s="43" t="n"/>
      <c r="J93" s="43" t="n"/>
      <c r="K93" s="2" t="n"/>
      <c r="L93" s="2" t="n"/>
    </row>
    <row r="94">
      <c r="A94" s="42" t="n"/>
      <c r="B94" s="43" t="n"/>
      <c r="C94" s="5">
        <f>IF(B94="","",IFERROR(INDEX('Lista de materiales'!$C$5:$C$54,MATCH(B94,'Lista de materiales'!$A$5:$A$54,0)),"ID no existe"))</f>
        <v/>
      </c>
      <c r="D94" s="43" t="n"/>
      <c r="E94" s="43" t="n"/>
      <c r="F94" s="44" t="n"/>
      <c r="G94" s="43" t="n"/>
      <c r="H94" s="43" t="n"/>
      <c r="I94" s="43" t="n"/>
      <c r="J94" s="43" t="n"/>
      <c r="K94" s="2" t="n"/>
      <c r="L94" s="2" t="n"/>
    </row>
    <row r="95">
      <c r="A95" s="42" t="n"/>
      <c r="B95" s="43" t="n"/>
      <c r="C95" s="5">
        <f>IF(B95="","",IFERROR(INDEX('Lista de materiales'!$C$5:$C$54,MATCH(B95,'Lista de materiales'!$A$5:$A$54,0)),"ID no existe"))</f>
        <v/>
      </c>
      <c r="D95" s="43" t="n"/>
      <c r="E95" s="43" t="n"/>
      <c r="F95" s="44" t="n"/>
      <c r="G95" s="43" t="n"/>
      <c r="H95" s="43" t="n"/>
      <c r="I95" s="43" t="n"/>
      <c r="J95" s="43" t="n"/>
      <c r="K95" s="2" t="n"/>
      <c r="L95" s="2" t="n"/>
    </row>
    <row r="96">
      <c r="A96" s="42" t="n"/>
      <c r="B96" s="43" t="n"/>
      <c r="C96" s="5">
        <f>IF(B96="","",IFERROR(INDEX('Lista de materiales'!$C$5:$C$54,MATCH(B96,'Lista de materiales'!$A$5:$A$54,0)),"ID no existe"))</f>
        <v/>
      </c>
      <c r="D96" s="43" t="n"/>
      <c r="E96" s="43" t="n"/>
      <c r="F96" s="44" t="n"/>
      <c r="G96" s="43" t="n"/>
      <c r="H96" s="43" t="n"/>
      <c r="I96" s="43" t="n"/>
      <c r="J96" s="43" t="n"/>
      <c r="K96" s="2" t="n"/>
      <c r="L96" s="2" t="n"/>
    </row>
    <row r="97">
      <c r="A97" s="42" t="n"/>
      <c r="B97" s="43" t="n"/>
      <c r="C97" s="5">
        <f>IF(B97="","",IFERROR(INDEX('Lista de materiales'!$C$5:$C$54,MATCH(B97,'Lista de materiales'!$A$5:$A$54,0)),"ID no existe"))</f>
        <v/>
      </c>
      <c r="D97" s="43" t="n"/>
      <c r="E97" s="43" t="n"/>
      <c r="F97" s="44" t="n"/>
      <c r="G97" s="43" t="n"/>
      <c r="H97" s="43" t="n"/>
      <c r="I97" s="43" t="n"/>
      <c r="J97" s="43" t="n"/>
      <c r="K97" s="2" t="n"/>
      <c r="L97" s="2" t="n"/>
    </row>
    <row r="98">
      <c r="A98" s="42" t="n"/>
      <c r="B98" s="43" t="n"/>
      <c r="C98" s="5">
        <f>IF(B98="","",IFERROR(INDEX('Lista de materiales'!$C$5:$C$54,MATCH(B98,'Lista de materiales'!$A$5:$A$54,0)),"ID no existe"))</f>
        <v/>
      </c>
      <c r="D98" s="43" t="n"/>
      <c r="E98" s="43" t="n"/>
      <c r="F98" s="44" t="n"/>
      <c r="G98" s="43" t="n"/>
      <c r="H98" s="43" t="n"/>
      <c r="I98" s="43" t="n"/>
      <c r="J98" s="43" t="n"/>
      <c r="K98" s="2" t="n"/>
      <c r="L98" s="2" t="n"/>
    </row>
    <row r="99">
      <c r="A99" s="42" t="n"/>
      <c r="B99" s="43" t="n"/>
      <c r="C99" s="5">
        <f>IF(B99="","",IFERROR(INDEX('Lista de materiales'!$C$5:$C$54,MATCH(B99,'Lista de materiales'!$A$5:$A$54,0)),"ID no existe"))</f>
        <v/>
      </c>
      <c r="D99" s="43" t="n"/>
      <c r="E99" s="43" t="n"/>
      <c r="F99" s="44" t="n"/>
      <c r="G99" s="43" t="n"/>
      <c r="H99" s="43" t="n"/>
      <c r="I99" s="43" t="n"/>
      <c r="J99" s="43" t="n"/>
      <c r="K99" s="2" t="n"/>
      <c r="L99" s="2" t="n"/>
    </row>
    <row r="100">
      <c r="A100" s="42" t="n"/>
      <c r="B100" s="43" t="n"/>
      <c r="C100" s="5">
        <f>IF(B100="","",IFERROR(INDEX('Lista de materiales'!$C$5:$C$54,MATCH(B100,'Lista de materiales'!$A$5:$A$54,0)),"ID no existe"))</f>
        <v/>
      </c>
      <c r="D100" s="43" t="n"/>
      <c r="E100" s="43" t="n"/>
      <c r="F100" s="44" t="n"/>
      <c r="G100" s="43" t="n"/>
      <c r="H100" s="43" t="n"/>
      <c r="I100" s="43" t="n"/>
      <c r="J100" s="43" t="n"/>
      <c r="K100" s="2" t="n"/>
      <c r="L100" s="2" t="n"/>
    </row>
    <row r="101">
      <c r="A101" s="42" t="n"/>
      <c r="B101" s="43" t="n"/>
      <c r="C101" s="5">
        <f>IF(B101="","",IFERROR(INDEX('Lista de materiales'!$C$5:$C$54,MATCH(B101,'Lista de materiales'!$A$5:$A$54,0)),"ID no existe"))</f>
        <v/>
      </c>
      <c r="D101" s="43" t="n"/>
      <c r="E101" s="43" t="n"/>
      <c r="F101" s="44" t="n"/>
      <c r="G101" s="43" t="n"/>
      <c r="H101" s="43" t="n"/>
      <c r="I101" s="43" t="n"/>
      <c r="J101" s="43" t="n"/>
      <c r="K101" s="2" t="n"/>
      <c r="L101" s="2" t="n"/>
    </row>
    <row r="102">
      <c r="A102" s="42" t="n"/>
      <c r="B102" s="43" t="n"/>
      <c r="C102" s="5">
        <f>IF(B102="","",IFERROR(INDEX('Lista de materiales'!$C$5:$C$54,MATCH(B102,'Lista de materiales'!$A$5:$A$54,0)),"ID no existe"))</f>
        <v/>
      </c>
      <c r="D102" s="43" t="n"/>
      <c r="E102" s="43" t="n"/>
      <c r="F102" s="44" t="n"/>
      <c r="G102" s="43" t="n"/>
      <c r="H102" s="43" t="n"/>
      <c r="I102" s="43" t="n"/>
      <c r="J102" s="43" t="n"/>
      <c r="K102" s="2" t="n"/>
      <c r="L102" s="2" t="n"/>
    </row>
    <row r="103">
      <c r="A103" s="42" t="n"/>
      <c r="B103" s="43" t="n"/>
      <c r="C103" s="5">
        <f>IF(B103="","",IFERROR(INDEX('Lista de materiales'!$C$5:$C$54,MATCH(B103,'Lista de materiales'!$A$5:$A$54,0)),"ID no existe"))</f>
        <v/>
      </c>
      <c r="D103" s="43" t="n"/>
      <c r="E103" s="43" t="n"/>
      <c r="F103" s="44" t="n"/>
      <c r="G103" s="43" t="n"/>
      <c r="H103" s="43" t="n"/>
      <c r="I103" s="43" t="n"/>
      <c r="J103" s="43" t="n"/>
      <c r="K103" s="2" t="n"/>
      <c r="L103" s="2" t="n"/>
    </row>
    <row r="104">
      <c r="A104" s="42" t="n"/>
      <c r="B104" s="43" t="n"/>
      <c r="C104" s="5">
        <f>IF(B104="","",IFERROR(INDEX('Lista de materiales'!$C$5:$C$54,MATCH(B104,'Lista de materiales'!$A$5:$A$54,0)),"ID no existe"))</f>
        <v/>
      </c>
      <c r="D104" s="43" t="n"/>
      <c r="E104" s="43" t="n"/>
      <c r="F104" s="44" t="n"/>
      <c r="G104" s="43" t="n"/>
      <c r="H104" s="43" t="n"/>
      <c r="I104" s="43" t="n"/>
      <c r="J104" s="43" t="n"/>
      <c r="K104" s="2" t="n"/>
      <c r="L104" s="2" t="n"/>
    </row>
    <row r="105">
      <c r="A105" s="42" t="n"/>
      <c r="B105" s="43" t="n"/>
      <c r="C105" s="5">
        <f>IF(B105="","",IFERROR(INDEX('Lista de materiales'!$C$5:$C$54,MATCH(B105,'Lista de materiales'!$A$5:$A$54,0)),"ID no existe"))</f>
        <v/>
      </c>
      <c r="D105" s="43" t="n"/>
      <c r="E105" s="43" t="n"/>
      <c r="F105" s="44" t="n"/>
      <c r="G105" s="43" t="n"/>
      <c r="H105" s="43" t="n"/>
      <c r="I105" s="43" t="n"/>
      <c r="J105" s="43" t="n"/>
      <c r="K105" s="2" t="n"/>
      <c r="L105" s="2" t="n"/>
    </row>
    <row r="106">
      <c r="A106" s="42" t="n"/>
      <c r="B106" s="43" t="n"/>
      <c r="C106" s="5">
        <f>IF(B106="","",IFERROR(INDEX('Lista de materiales'!$C$5:$C$54,MATCH(B106,'Lista de materiales'!$A$5:$A$54,0)),"ID no existe"))</f>
        <v/>
      </c>
      <c r="D106" s="43" t="n"/>
      <c r="E106" s="43" t="n"/>
      <c r="F106" s="44" t="n"/>
      <c r="G106" s="43" t="n"/>
      <c r="H106" s="43" t="n"/>
      <c r="I106" s="43" t="n"/>
      <c r="J106" s="43" t="n"/>
      <c r="K106" s="2" t="n"/>
      <c r="L106" s="2" t="n"/>
    </row>
    <row r="107">
      <c r="A107" s="42" t="n"/>
      <c r="B107" s="43" t="n"/>
      <c r="C107" s="5">
        <f>IF(B107="","",IFERROR(INDEX('Lista de materiales'!$C$5:$C$54,MATCH(B107,'Lista de materiales'!$A$5:$A$54,0)),"ID no existe"))</f>
        <v/>
      </c>
      <c r="D107" s="43" t="n"/>
      <c r="E107" s="43" t="n"/>
      <c r="F107" s="44" t="n"/>
      <c r="G107" s="43" t="n"/>
      <c r="H107" s="43" t="n"/>
      <c r="I107" s="43" t="n"/>
      <c r="J107" s="43" t="n"/>
      <c r="K107" s="2" t="n"/>
      <c r="L107" s="2" t="n"/>
    </row>
    <row r="108">
      <c r="A108" s="42" t="n"/>
      <c r="B108" s="43" t="n"/>
      <c r="C108" s="5">
        <f>IF(B108="","",IFERROR(INDEX('Lista de materiales'!$C$5:$C$54,MATCH(B108,'Lista de materiales'!$A$5:$A$54,0)),"ID no existe"))</f>
        <v/>
      </c>
      <c r="D108" s="43" t="n"/>
      <c r="E108" s="43" t="n"/>
      <c r="F108" s="44" t="n"/>
      <c r="G108" s="43" t="n"/>
      <c r="H108" s="43" t="n"/>
      <c r="I108" s="43" t="n"/>
      <c r="J108" s="43" t="n"/>
      <c r="K108" s="2" t="n"/>
      <c r="L108" s="2" t="n"/>
    </row>
    <row r="109">
      <c r="A109" s="42" t="n"/>
      <c r="B109" s="43" t="n"/>
      <c r="C109" s="5">
        <f>IF(B109="","",IFERROR(INDEX('Lista de materiales'!$C$5:$C$54,MATCH(B109,'Lista de materiales'!$A$5:$A$54,0)),"ID no existe"))</f>
        <v/>
      </c>
      <c r="D109" s="43" t="n"/>
      <c r="E109" s="43" t="n"/>
      <c r="F109" s="44" t="n"/>
      <c r="G109" s="43" t="n"/>
      <c r="H109" s="43" t="n"/>
      <c r="I109" s="43" t="n"/>
      <c r="J109" s="43" t="n"/>
      <c r="K109" s="2" t="n"/>
      <c r="L109" s="2" t="n"/>
    </row>
    <row r="110">
      <c r="A110" s="42" t="n"/>
      <c r="B110" s="43" t="n"/>
      <c r="C110" s="5">
        <f>IF(B110="","",IFERROR(INDEX('Lista de materiales'!$C$5:$C$54,MATCH(B110,'Lista de materiales'!$A$5:$A$54,0)),"ID no existe"))</f>
        <v/>
      </c>
      <c r="D110" s="43" t="n"/>
      <c r="E110" s="43" t="n"/>
      <c r="F110" s="44" t="n"/>
      <c r="G110" s="43" t="n"/>
      <c r="H110" s="43" t="n"/>
      <c r="I110" s="43" t="n"/>
      <c r="J110" s="43" t="n"/>
      <c r="K110" s="2" t="n"/>
      <c r="L110" s="2" t="n"/>
    </row>
    <row r="111">
      <c r="A111" s="42" t="n"/>
      <c r="B111" s="43" t="n"/>
      <c r="C111" s="5">
        <f>IF(B111="","",IFERROR(INDEX('Lista de materiales'!$C$5:$C$54,MATCH(B111,'Lista de materiales'!$A$5:$A$54,0)),"ID no existe"))</f>
        <v/>
      </c>
      <c r="D111" s="43" t="n"/>
      <c r="E111" s="43" t="n"/>
      <c r="F111" s="44" t="n"/>
      <c r="G111" s="43" t="n"/>
      <c r="H111" s="43" t="n"/>
      <c r="I111" s="43" t="n"/>
      <c r="J111" s="43" t="n"/>
      <c r="K111" s="2" t="n"/>
      <c r="L111" s="2" t="n"/>
    </row>
    <row r="112">
      <c r="A112" s="42" t="n"/>
      <c r="B112" s="43" t="n"/>
      <c r="C112" s="5">
        <f>IF(B112="","",IFERROR(INDEX('Lista de materiales'!$C$5:$C$54,MATCH(B112,'Lista de materiales'!$A$5:$A$54,0)),"ID no existe"))</f>
        <v/>
      </c>
      <c r="D112" s="43" t="n"/>
      <c r="E112" s="43" t="n"/>
      <c r="F112" s="44" t="n"/>
      <c r="G112" s="43" t="n"/>
      <c r="H112" s="43" t="n"/>
      <c r="I112" s="43" t="n"/>
      <c r="J112" s="43" t="n"/>
      <c r="K112" s="2" t="n"/>
      <c r="L112" s="2" t="n"/>
    </row>
    <row r="113">
      <c r="A113" s="42" t="n"/>
      <c r="B113" s="43" t="n"/>
      <c r="C113" s="5">
        <f>IF(B113="","",IFERROR(INDEX('Lista de materiales'!$C$5:$C$54,MATCH(B113,'Lista de materiales'!$A$5:$A$54,0)),"ID no existe"))</f>
        <v/>
      </c>
      <c r="D113" s="43" t="n"/>
      <c r="E113" s="43" t="n"/>
      <c r="F113" s="44" t="n"/>
      <c r="G113" s="43" t="n"/>
      <c r="H113" s="43" t="n"/>
      <c r="I113" s="43" t="n"/>
      <c r="J113" s="43" t="n"/>
      <c r="K113" s="2" t="n"/>
      <c r="L113" s="2" t="n"/>
    </row>
    <row r="114">
      <c r="A114" s="42" t="n"/>
      <c r="B114" s="43" t="n"/>
      <c r="C114" s="5">
        <f>IF(B114="","",IFERROR(INDEX('Lista de materiales'!$C$5:$C$54,MATCH(B114,'Lista de materiales'!$A$5:$A$54,0)),"ID no existe"))</f>
        <v/>
      </c>
      <c r="D114" s="43" t="n"/>
      <c r="E114" s="43" t="n"/>
      <c r="F114" s="44" t="n"/>
      <c r="G114" s="43" t="n"/>
      <c r="H114" s="43" t="n"/>
      <c r="I114" s="43" t="n"/>
      <c r="J114" s="43" t="n"/>
      <c r="K114" s="2" t="n"/>
      <c r="L114" s="2" t="n"/>
    </row>
    <row r="115">
      <c r="A115" s="42" t="n"/>
      <c r="B115" s="43" t="n"/>
      <c r="C115" s="5">
        <f>IF(B115="","",IFERROR(INDEX('Lista de materiales'!$C$5:$C$54,MATCH(B115,'Lista de materiales'!$A$5:$A$54,0)),"ID no existe"))</f>
        <v/>
      </c>
      <c r="D115" s="43" t="n"/>
      <c r="E115" s="43" t="n"/>
      <c r="F115" s="44" t="n"/>
      <c r="G115" s="43" t="n"/>
      <c r="H115" s="43" t="n"/>
      <c r="I115" s="43" t="n"/>
      <c r="J115" s="43" t="n"/>
      <c r="K115" s="2" t="n"/>
      <c r="L115" s="2" t="n"/>
    </row>
    <row r="116">
      <c r="A116" s="42" t="n"/>
      <c r="B116" s="43" t="n"/>
      <c r="C116" s="5">
        <f>IF(B116="","",IFERROR(INDEX('Lista de materiales'!$C$5:$C$54,MATCH(B116,'Lista de materiales'!$A$5:$A$54,0)),"ID no existe"))</f>
        <v/>
      </c>
      <c r="D116" s="43" t="n"/>
      <c r="E116" s="43" t="n"/>
      <c r="F116" s="44" t="n"/>
      <c r="G116" s="43" t="n"/>
      <c r="H116" s="43" t="n"/>
      <c r="I116" s="43" t="n"/>
      <c r="J116" s="43" t="n"/>
      <c r="K116" s="2" t="n"/>
      <c r="L116" s="2" t="n"/>
    </row>
    <row r="117">
      <c r="A117" s="42" t="n"/>
      <c r="B117" s="43" t="n"/>
      <c r="C117" s="5">
        <f>IF(B117="","",IFERROR(INDEX('Lista de materiales'!$C$5:$C$54,MATCH(B117,'Lista de materiales'!$A$5:$A$54,0)),"ID no existe"))</f>
        <v/>
      </c>
      <c r="D117" s="43" t="n"/>
      <c r="E117" s="43" t="n"/>
      <c r="F117" s="44" t="n"/>
      <c r="G117" s="43" t="n"/>
      <c r="H117" s="43" t="n"/>
      <c r="I117" s="43" t="n"/>
      <c r="J117" s="43" t="n"/>
      <c r="K117" s="2" t="n"/>
      <c r="L117" s="2" t="n"/>
    </row>
    <row r="118">
      <c r="A118" s="42" t="n"/>
      <c r="B118" s="43" t="n"/>
      <c r="C118" s="5">
        <f>IF(B118="","",IFERROR(INDEX('Lista de materiales'!$C$5:$C$54,MATCH(B118,'Lista de materiales'!$A$5:$A$54,0)),"ID no existe"))</f>
        <v/>
      </c>
      <c r="D118" s="43" t="n"/>
      <c r="E118" s="43" t="n"/>
      <c r="F118" s="44" t="n"/>
      <c r="G118" s="43" t="n"/>
      <c r="H118" s="43" t="n"/>
      <c r="I118" s="43" t="n"/>
      <c r="J118" s="43" t="n"/>
      <c r="K118" s="2" t="n"/>
      <c r="L118" s="2" t="n"/>
    </row>
    <row r="119">
      <c r="A119" s="42" t="n"/>
      <c r="B119" s="43" t="n"/>
      <c r="C119" s="5">
        <f>IF(B119="","",IFERROR(INDEX('Lista de materiales'!$C$5:$C$54,MATCH(B119,'Lista de materiales'!$A$5:$A$54,0)),"ID no existe"))</f>
        <v/>
      </c>
      <c r="D119" s="43" t="n"/>
      <c r="E119" s="43" t="n"/>
      <c r="F119" s="44" t="n"/>
      <c r="G119" s="43" t="n"/>
      <c r="H119" s="43" t="n"/>
      <c r="I119" s="43" t="n"/>
      <c r="J119" s="43" t="n"/>
      <c r="K119" s="2" t="n"/>
      <c r="L119" s="2" t="n"/>
    </row>
    <row r="120">
      <c r="A120" s="42" t="n"/>
      <c r="B120" s="43" t="n"/>
      <c r="C120" s="5">
        <f>IF(B120="","",IFERROR(INDEX('Lista de materiales'!$C$5:$C$54,MATCH(B120,'Lista de materiales'!$A$5:$A$54,0)),"ID no existe"))</f>
        <v/>
      </c>
      <c r="D120" s="43" t="n"/>
      <c r="E120" s="43" t="n"/>
      <c r="F120" s="44" t="n"/>
      <c r="G120" s="43" t="n"/>
      <c r="H120" s="43" t="n"/>
      <c r="I120" s="43" t="n"/>
      <c r="J120" s="43" t="n"/>
      <c r="K120" s="2" t="n"/>
      <c r="L120" s="2" t="n"/>
    </row>
    <row r="121">
      <c r="A121" s="42" t="n"/>
      <c r="B121" s="43" t="n"/>
      <c r="C121" s="5">
        <f>IF(B121="","",IFERROR(INDEX('Lista de materiales'!$C$5:$C$54,MATCH(B121,'Lista de materiales'!$A$5:$A$54,0)),"ID no existe"))</f>
        <v/>
      </c>
      <c r="D121" s="43" t="n"/>
      <c r="E121" s="43" t="n"/>
      <c r="F121" s="44" t="n"/>
      <c r="G121" s="43" t="n"/>
      <c r="H121" s="43" t="n"/>
      <c r="I121" s="43" t="n"/>
      <c r="J121" s="43" t="n"/>
      <c r="K121" s="2" t="n"/>
      <c r="L121" s="2" t="n"/>
    </row>
    <row r="122">
      <c r="A122" s="42" t="n"/>
      <c r="B122" s="43" t="n"/>
      <c r="C122" s="5">
        <f>IF(B122="","",IFERROR(INDEX('Lista de materiales'!$C$5:$C$54,MATCH(B122,'Lista de materiales'!$A$5:$A$54,0)),"ID no existe"))</f>
        <v/>
      </c>
      <c r="D122" s="43" t="n"/>
      <c r="E122" s="43" t="n"/>
      <c r="F122" s="44" t="n"/>
      <c r="G122" s="43" t="n"/>
      <c r="H122" s="43" t="n"/>
      <c r="I122" s="43" t="n"/>
      <c r="J122" s="43" t="n"/>
      <c r="K122" s="2" t="n"/>
      <c r="L122" s="2" t="n"/>
    </row>
    <row r="123">
      <c r="A123" s="42" t="n"/>
      <c r="B123" s="43" t="n"/>
      <c r="C123" s="5">
        <f>IF(B123="","",IFERROR(INDEX('Lista de materiales'!$C$5:$C$54,MATCH(B123,'Lista de materiales'!$A$5:$A$54,0)),"ID no existe"))</f>
        <v/>
      </c>
      <c r="D123" s="43" t="n"/>
      <c r="E123" s="43" t="n"/>
      <c r="F123" s="44" t="n"/>
      <c r="G123" s="43" t="n"/>
      <c r="H123" s="43" t="n"/>
      <c r="I123" s="43" t="n"/>
      <c r="J123" s="43" t="n"/>
      <c r="K123" s="2" t="n"/>
      <c r="L123" s="2" t="n"/>
    </row>
    <row r="124">
      <c r="A124" s="42" t="n"/>
      <c r="B124" s="43" t="n"/>
      <c r="C124" s="5">
        <f>IF(B124="","",IFERROR(INDEX('Lista de materiales'!$C$5:$C$54,MATCH(B124,'Lista de materiales'!$A$5:$A$54,0)),"ID no existe"))</f>
        <v/>
      </c>
      <c r="D124" s="43" t="n"/>
      <c r="E124" s="43" t="n"/>
      <c r="F124" s="44" t="n"/>
      <c r="G124" s="43" t="n"/>
      <c r="H124" s="43" t="n"/>
      <c r="I124" s="43" t="n"/>
      <c r="J124" s="43" t="n"/>
      <c r="K124" s="2" t="n"/>
      <c r="L124" s="2" t="n"/>
    </row>
    <row r="125">
      <c r="A125" s="42" t="n"/>
      <c r="B125" s="43" t="n"/>
      <c r="C125" s="5">
        <f>IF(B125="","",IFERROR(INDEX('Lista de materiales'!$C$5:$C$54,MATCH(B125,'Lista de materiales'!$A$5:$A$54,0)),"ID no existe"))</f>
        <v/>
      </c>
      <c r="D125" s="43" t="n"/>
      <c r="E125" s="43" t="n"/>
      <c r="F125" s="44" t="n"/>
      <c r="G125" s="43" t="n"/>
      <c r="H125" s="43" t="n"/>
      <c r="I125" s="43" t="n"/>
      <c r="J125" s="43" t="n"/>
      <c r="K125" s="2" t="n"/>
      <c r="L125" s="2" t="n"/>
    </row>
    <row r="126">
      <c r="A126" s="42" t="n"/>
      <c r="B126" s="43" t="n"/>
      <c r="C126" s="5">
        <f>IF(B126="","",IFERROR(INDEX('Lista de materiales'!$C$5:$C$54,MATCH(B126,'Lista de materiales'!$A$5:$A$54,0)),"ID no existe"))</f>
        <v/>
      </c>
      <c r="D126" s="43" t="n"/>
      <c r="E126" s="43" t="n"/>
      <c r="F126" s="44" t="n"/>
      <c r="G126" s="43" t="n"/>
      <c r="H126" s="43" t="n"/>
      <c r="I126" s="43" t="n"/>
      <c r="J126" s="43" t="n"/>
      <c r="K126" s="2" t="n"/>
      <c r="L126" s="2" t="n"/>
    </row>
    <row r="127">
      <c r="A127" s="42" t="n"/>
      <c r="B127" s="43" t="n"/>
      <c r="C127" s="5">
        <f>IF(B127="","",IFERROR(INDEX('Lista de materiales'!$C$5:$C$54,MATCH(B127,'Lista de materiales'!$A$5:$A$54,0)),"ID no existe"))</f>
        <v/>
      </c>
      <c r="D127" s="43" t="n"/>
      <c r="E127" s="43" t="n"/>
      <c r="F127" s="44" t="n"/>
      <c r="G127" s="43" t="n"/>
      <c r="H127" s="43" t="n"/>
      <c r="I127" s="43" t="n"/>
      <c r="J127" s="43" t="n"/>
      <c r="K127" s="2" t="n"/>
      <c r="L127" s="2" t="n"/>
    </row>
    <row r="128">
      <c r="A128" s="42" t="n"/>
      <c r="B128" s="43" t="n"/>
      <c r="C128" s="5">
        <f>IF(B128="","",IFERROR(INDEX('Lista de materiales'!$C$5:$C$54,MATCH(B128,'Lista de materiales'!$A$5:$A$54,0)),"ID no existe"))</f>
        <v/>
      </c>
      <c r="D128" s="43" t="n"/>
      <c r="E128" s="43" t="n"/>
      <c r="F128" s="44" t="n"/>
      <c r="G128" s="43" t="n"/>
      <c r="H128" s="43" t="n"/>
      <c r="I128" s="43" t="n"/>
      <c r="J128" s="43" t="n"/>
      <c r="K128" s="2" t="n"/>
      <c r="L128" s="2" t="n"/>
    </row>
    <row r="129">
      <c r="A129" s="42" t="n"/>
      <c r="B129" s="43" t="n"/>
      <c r="C129" s="5">
        <f>IF(B129="","",IFERROR(INDEX('Lista de materiales'!$C$5:$C$54,MATCH(B129,'Lista de materiales'!$A$5:$A$54,0)),"ID no existe"))</f>
        <v/>
      </c>
      <c r="D129" s="43" t="n"/>
      <c r="E129" s="43" t="n"/>
      <c r="F129" s="44" t="n"/>
      <c r="G129" s="43" t="n"/>
      <c r="H129" s="43" t="n"/>
      <c r="I129" s="43" t="n"/>
      <c r="J129" s="43" t="n"/>
      <c r="K129" s="2" t="n"/>
      <c r="L129" s="2" t="n"/>
    </row>
    <row r="130">
      <c r="A130" s="42" t="n"/>
      <c r="B130" s="43" t="n"/>
      <c r="C130" s="5">
        <f>IF(B130="","",IFERROR(INDEX('Lista de materiales'!$C$5:$C$54,MATCH(B130,'Lista de materiales'!$A$5:$A$54,0)),"ID no existe"))</f>
        <v/>
      </c>
      <c r="D130" s="43" t="n"/>
      <c r="E130" s="43" t="n"/>
      <c r="F130" s="44" t="n"/>
      <c r="G130" s="43" t="n"/>
      <c r="H130" s="43" t="n"/>
      <c r="I130" s="43" t="n"/>
      <c r="J130" s="43" t="n"/>
      <c r="K130" s="2" t="n"/>
      <c r="L130" s="2" t="n"/>
    </row>
    <row r="131">
      <c r="A131" s="42" t="n"/>
      <c r="B131" s="43" t="n"/>
      <c r="C131" s="5">
        <f>IF(B131="","",IFERROR(INDEX('Lista de materiales'!$C$5:$C$54,MATCH(B131,'Lista de materiales'!$A$5:$A$54,0)),"ID no existe"))</f>
        <v/>
      </c>
      <c r="D131" s="43" t="n"/>
      <c r="E131" s="43" t="n"/>
      <c r="F131" s="44" t="n"/>
      <c r="G131" s="43" t="n"/>
      <c r="H131" s="43" t="n"/>
      <c r="I131" s="43" t="n"/>
      <c r="J131" s="43" t="n"/>
      <c r="K131" s="2" t="n"/>
      <c r="L131" s="2" t="n"/>
    </row>
    <row r="132">
      <c r="A132" s="42" t="n"/>
      <c r="B132" s="43" t="n"/>
      <c r="C132" s="5">
        <f>IF(B132="","",IFERROR(INDEX('Lista de materiales'!$C$5:$C$54,MATCH(B132,'Lista de materiales'!$A$5:$A$54,0)),"ID no existe"))</f>
        <v/>
      </c>
      <c r="D132" s="43" t="n"/>
      <c r="E132" s="43" t="n"/>
      <c r="F132" s="44" t="n"/>
      <c r="G132" s="43" t="n"/>
      <c r="H132" s="43" t="n"/>
      <c r="I132" s="43" t="n"/>
      <c r="J132" s="43" t="n"/>
      <c r="K132" s="2" t="n"/>
      <c r="L132" s="2" t="n"/>
    </row>
    <row r="133">
      <c r="A133" s="42" t="n"/>
      <c r="B133" s="43" t="n"/>
      <c r="C133" s="5">
        <f>IF(B133="","",IFERROR(INDEX('Lista de materiales'!$C$5:$C$54,MATCH(B133,'Lista de materiales'!$A$5:$A$54,0)),"ID no existe"))</f>
        <v/>
      </c>
      <c r="D133" s="43" t="n"/>
      <c r="E133" s="43" t="n"/>
      <c r="F133" s="44" t="n"/>
      <c r="G133" s="43" t="n"/>
      <c r="H133" s="43" t="n"/>
      <c r="I133" s="43" t="n"/>
      <c r="J133" s="43" t="n"/>
      <c r="K133" s="2" t="n"/>
      <c r="L133" s="2" t="n"/>
    </row>
    <row r="134">
      <c r="A134" s="42" t="n"/>
      <c r="B134" s="43" t="n"/>
      <c r="C134" s="5">
        <f>IF(B134="","",IFERROR(INDEX('Lista de materiales'!$C$5:$C$54,MATCH(B134,'Lista de materiales'!$A$5:$A$54,0)),"ID no existe"))</f>
        <v/>
      </c>
      <c r="D134" s="43" t="n"/>
      <c r="E134" s="43" t="n"/>
      <c r="F134" s="44" t="n"/>
      <c r="G134" s="43" t="n"/>
      <c r="H134" s="43" t="n"/>
      <c r="I134" s="43" t="n"/>
      <c r="J134" s="43" t="n"/>
      <c r="K134" s="2" t="n"/>
      <c r="L134" s="2" t="n"/>
    </row>
    <row r="135">
      <c r="A135" s="42" t="n"/>
      <c r="B135" s="43" t="n"/>
      <c r="C135" s="5">
        <f>IF(B135="","",IFERROR(INDEX('Lista de materiales'!$C$5:$C$54,MATCH(B135,'Lista de materiales'!$A$5:$A$54,0)),"ID no existe"))</f>
        <v/>
      </c>
      <c r="D135" s="43" t="n"/>
      <c r="E135" s="43" t="n"/>
      <c r="F135" s="44" t="n"/>
      <c r="G135" s="43" t="n"/>
      <c r="H135" s="43" t="n"/>
      <c r="I135" s="43" t="n"/>
      <c r="J135" s="43" t="n"/>
      <c r="K135" s="2" t="n"/>
      <c r="L135" s="2" t="n"/>
    </row>
    <row r="136">
      <c r="A136" s="42" t="n"/>
      <c r="B136" s="43" t="n"/>
      <c r="C136" s="5">
        <f>IF(B136="","",IFERROR(INDEX('Lista de materiales'!$C$5:$C$54,MATCH(B136,'Lista de materiales'!$A$5:$A$54,0)),"ID no existe"))</f>
        <v/>
      </c>
      <c r="D136" s="43" t="n"/>
      <c r="E136" s="43" t="n"/>
      <c r="F136" s="44" t="n"/>
      <c r="G136" s="43" t="n"/>
      <c r="H136" s="43" t="n"/>
      <c r="I136" s="43" t="n"/>
      <c r="J136" s="43" t="n"/>
      <c r="K136" s="2" t="n"/>
      <c r="L136" s="2" t="n"/>
    </row>
    <row r="137">
      <c r="A137" s="42" t="n"/>
      <c r="B137" s="43" t="n"/>
      <c r="C137" s="5">
        <f>IF(B137="","",IFERROR(INDEX('Lista de materiales'!$C$5:$C$54,MATCH(B137,'Lista de materiales'!$A$5:$A$54,0)),"ID no existe"))</f>
        <v/>
      </c>
      <c r="D137" s="43" t="n"/>
      <c r="E137" s="43" t="n"/>
      <c r="F137" s="44" t="n"/>
      <c r="G137" s="43" t="n"/>
      <c r="H137" s="43" t="n"/>
      <c r="I137" s="43" t="n"/>
      <c r="J137" s="43" t="n"/>
      <c r="K137" s="2" t="n"/>
      <c r="L137" s="2" t="n"/>
    </row>
    <row r="138">
      <c r="A138" s="42" t="n"/>
      <c r="B138" s="43" t="n"/>
      <c r="C138" s="5">
        <f>IF(B138="","",IFERROR(INDEX('Lista de materiales'!$C$5:$C$54,MATCH(B138,'Lista de materiales'!$A$5:$A$54,0)),"ID no existe"))</f>
        <v/>
      </c>
      <c r="D138" s="43" t="n"/>
      <c r="E138" s="43" t="n"/>
      <c r="F138" s="44" t="n"/>
      <c r="G138" s="43" t="n"/>
      <c r="H138" s="43" t="n"/>
      <c r="I138" s="43" t="n"/>
      <c r="J138" s="43" t="n"/>
      <c r="K138" s="2" t="n"/>
      <c r="L138" s="2" t="n"/>
    </row>
    <row r="139">
      <c r="A139" s="42" t="n"/>
      <c r="B139" s="43" t="n"/>
      <c r="C139" s="5">
        <f>IF(B139="","",IFERROR(INDEX('Lista de materiales'!$C$5:$C$54,MATCH(B139,'Lista de materiales'!$A$5:$A$54,0)),"ID no existe"))</f>
        <v/>
      </c>
      <c r="D139" s="43" t="n"/>
      <c r="E139" s="43" t="n"/>
      <c r="F139" s="44" t="n"/>
      <c r="G139" s="43" t="n"/>
      <c r="H139" s="43" t="n"/>
      <c r="I139" s="43" t="n"/>
      <c r="J139" s="43" t="n"/>
      <c r="K139" s="2" t="n"/>
      <c r="L139" s="2" t="n"/>
    </row>
    <row r="140">
      <c r="A140" s="42" t="n"/>
      <c r="B140" s="43" t="n"/>
      <c r="C140" s="5">
        <f>IF(B140="","",IFERROR(INDEX('Lista de materiales'!$C$5:$C$54,MATCH(B140,'Lista de materiales'!$A$5:$A$54,0)),"ID no existe"))</f>
        <v/>
      </c>
      <c r="D140" s="43" t="n"/>
      <c r="E140" s="43" t="n"/>
      <c r="F140" s="44" t="n"/>
      <c r="G140" s="43" t="n"/>
      <c r="H140" s="43" t="n"/>
      <c r="I140" s="43" t="n"/>
      <c r="J140" s="43" t="n"/>
      <c r="K140" s="2" t="n"/>
      <c r="L140" s="2" t="n"/>
    </row>
    <row r="141">
      <c r="A141" s="42" t="n"/>
      <c r="B141" s="43" t="n"/>
      <c r="C141" s="5">
        <f>IF(B141="","",IFERROR(INDEX('Lista de materiales'!$C$5:$C$54,MATCH(B141,'Lista de materiales'!$A$5:$A$54,0)),"ID no existe"))</f>
        <v/>
      </c>
      <c r="D141" s="43" t="n"/>
      <c r="E141" s="43" t="n"/>
      <c r="F141" s="44" t="n"/>
      <c r="G141" s="43" t="n"/>
      <c r="H141" s="43" t="n"/>
      <c r="I141" s="43" t="n"/>
      <c r="J141" s="43" t="n"/>
      <c r="K141" s="2" t="n"/>
      <c r="L141" s="2" t="n"/>
    </row>
    <row r="142">
      <c r="A142" s="42" t="n"/>
      <c r="B142" s="43" t="n"/>
      <c r="C142" s="5">
        <f>IF(B142="","",IFERROR(INDEX('Lista de materiales'!$C$5:$C$54,MATCH(B142,'Lista de materiales'!$A$5:$A$54,0)),"ID no existe"))</f>
        <v/>
      </c>
      <c r="D142" s="43" t="n"/>
      <c r="E142" s="43" t="n"/>
      <c r="F142" s="44" t="n"/>
      <c r="G142" s="43" t="n"/>
      <c r="H142" s="43" t="n"/>
      <c r="I142" s="43" t="n"/>
      <c r="J142" s="43" t="n"/>
      <c r="K142" s="2" t="n"/>
      <c r="L142" s="2" t="n"/>
    </row>
    <row r="143">
      <c r="A143" s="42" t="n"/>
      <c r="B143" s="43" t="n"/>
      <c r="C143" s="5">
        <f>IF(B143="","",IFERROR(INDEX('Lista de materiales'!$C$5:$C$54,MATCH(B143,'Lista de materiales'!$A$5:$A$54,0)),"ID no existe"))</f>
        <v/>
      </c>
      <c r="D143" s="43" t="n"/>
      <c r="E143" s="43" t="n"/>
      <c r="F143" s="44" t="n"/>
      <c r="G143" s="43" t="n"/>
      <c r="H143" s="43" t="n"/>
      <c r="I143" s="43" t="n"/>
      <c r="J143" s="43" t="n"/>
      <c r="K143" s="2" t="n"/>
      <c r="L143" s="2" t="n"/>
    </row>
    <row r="144">
      <c r="A144" s="42" t="n"/>
      <c r="B144" s="43" t="n"/>
      <c r="C144" s="5">
        <f>IF(B144="","",IFERROR(INDEX('Lista de materiales'!$C$5:$C$54,MATCH(B144,'Lista de materiales'!$A$5:$A$54,0)),"ID no existe"))</f>
        <v/>
      </c>
      <c r="D144" s="43" t="n"/>
      <c r="E144" s="43" t="n"/>
      <c r="F144" s="44" t="n"/>
      <c r="G144" s="43" t="n"/>
      <c r="H144" s="43" t="n"/>
      <c r="I144" s="43" t="n"/>
      <c r="J144" s="43" t="n"/>
      <c r="K144" s="2" t="n"/>
      <c r="L144" s="2" t="n"/>
    </row>
    <row r="145">
      <c r="A145" s="42" t="n"/>
      <c r="B145" s="43" t="n"/>
      <c r="C145" s="5">
        <f>IF(B145="","",IFERROR(INDEX('Lista de materiales'!$C$5:$C$54,MATCH(B145,'Lista de materiales'!$A$5:$A$54,0)),"ID no existe"))</f>
        <v/>
      </c>
      <c r="D145" s="43" t="n"/>
      <c r="E145" s="43" t="n"/>
      <c r="F145" s="44" t="n"/>
      <c r="G145" s="43" t="n"/>
      <c r="H145" s="43" t="n"/>
      <c r="I145" s="43" t="n"/>
      <c r="J145" s="43" t="n"/>
      <c r="K145" s="2" t="n"/>
      <c r="L145" s="2" t="n"/>
    </row>
    <row r="146">
      <c r="A146" s="42" t="n"/>
      <c r="B146" s="43" t="n"/>
      <c r="C146" s="5">
        <f>IF(B146="","",IFERROR(INDEX('Lista de materiales'!$C$5:$C$54,MATCH(B146,'Lista de materiales'!$A$5:$A$54,0)),"ID no existe"))</f>
        <v/>
      </c>
      <c r="D146" s="43" t="n"/>
      <c r="E146" s="43" t="n"/>
      <c r="F146" s="44" t="n"/>
      <c r="G146" s="43" t="n"/>
      <c r="H146" s="43" t="n"/>
      <c r="I146" s="43" t="n"/>
      <c r="J146" s="43" t="n"/>
      <c r="K146" s="2" t="n"/>
      <c r="L146" s="2" t="n"/>
    </row>
    <row r="147">
      <c r="A147" s="42" t="n"/>
      <c r="B147" s="43" t="n"/>
      <c r="C147" s="5">
        <f>IF(B147="","",IFERROR(INDEX('Lista de materiales'!$C$5:$C$54,MATCH(B147,'Lista de materiales'!$A$5:$A$54,0)),"ID no existe"))</f>
        <v/>
      </c>
      <c r="D147" s="43" t="n"/>
      <c r="E147" s="43" t="n"/>
      <c r="F147" s="44" t="n"/>
      <c r="G147" s="43" t="n"/>
      <c r="H147" s="43" t="n"/>
      <c r="I147" s="43" t="n"/>
      <c r="J147" s="43" t="n"/>
      <c r="K147" s="2" t="n"/>
      <c r="L147" s="2" t="n"/>
    </row>
    <row r="148">
      <c r="A148" s="42" t="n"/>
      <c r="B148" s="43" t="n"/>
      <c r="C148" s="5">
        <f>IF(B148="","",IFERROR(INDEX('Lista de materiales'!$C$5:$C$54,MATCH(B148,'Lista de materiales'!$A$5:$A$54,0)),"ID no existe"))</f>
        <v/>
      </c>
      <c r="D148" s="43" t="n"/>
      <c r="E148" s="43" t="n"/>
      <c r="F148" s="44" t="n"/>
      <c r="G148" s="43" t="n"/>
      <c r="H148" s="43" t="n"/>
      <c r="I148" s="43" t="n"/>
      <c r="J148" s="43" t="n"/>
      <c r="K148" s="2" t="n"/>
      <c r="L148" s="2" t="n"/>
    </row>
    <row r="149">
      <c r="A149" s="42" t="n"/>
      <c r="B149" s="43" t="n"/>
      <c r="C149" s="5">
        <f>IF(B149="","",IFERROR(INDEX('Lista de materiales'!$C$5:$C$54,MATCH(B149,'Lista de materiales'!$A$5:$A$54,0)),"ID no existe"))</f>
        <v/>
      </c>
      <c r="D149" s="43" t="n"/>
      <c r="E149" s="43" t="n"/>
      <c r="F149" s="44" t="n"/>
      <c r="G149" s="43" t="n"/>
      <c r="H149" s="43" t="n"/>
      <c r="I149" s="43" t="n"/>
      <c r="J149" s="43" t="n"/>
      <c r="K149" s="2" t="n"/>
      <c r="L149" s="2" t="n"/>
    </row>
    <row r="150">
      <c r="A150" s="42" t="n"/>
      <c r="B150" s="43" t="n"/>
      <c r="C150" s="5">
        <f>IF(B150="","",IFERROR(INDEX('Lista de materiales'!$C$5:$C$54,MATCH(B150,'Lista de materiales'!$A$5:$A$54,0)),"ID no existe"))</f>
        <v/>
      </c>
      <c r="D150" s="43" t="n"/>
      <c r="E150" s="43" t="n"/>
      <c r="F150" s="44" t="n"/>
      <c r="G150" s="43" t="n"/>
      <c r="H150" s="43" t="n"/>
      <c r="I150" s="43" t="n"/>
      <c r="J150" s="43" t="n"/>
      <c r="K150" s="2" t="n"/>
      <c r="L150" s="2" t="n"/>
    </row>
    <row r="151">
      <c r="A151" s="42" t="n"/>
      <c r="B151" s="43" t="n"/>
      <c r="C151" s="5">
        <f>IF(B151="","",IFERROR(INDEX('Lista de materiales'!$C$5:$C$54,MATCH(B151,'Lista de materiales'!$A$5:$A$54,0)),"ID no existe"))</f>
        <v/>
      </c>
      <c r="D151" s="43" t="n"/>
      <c r="E151" s="43" t="n"/>
      <c r="F151" s="44" t="n"/>
      <c r="G151" s="43" t="n"/>
      <c r="H151" s="43" t="n"/>
      <c r="I151" s="43" t="n"/>
      <c r="J151" s="43" t="n"/>
      <c r="K151" s="2" t="n"/>
      <c r="L151" s="2" t="n"/>
    </row>
    <row r="152">
      <c r="A152" s="42" t="n"/>
      <c r="B152" s="43" t="n"/>
      <c r="C152" s="5">
        <f>IF(B152="","",IFERROR(INDEX('Lista de materiales'!$C$5:$C$54,MATCH(B152,'Lista de materiales'!$A$5:$A$54,0)),"ID no existe"))</f>
        <v/>
      </c>
      <c r="D152" s="43" t="n"/>
      <c r="E152" s="43" t="n"/>
      <c r="F152" s="44" t="n"/>
      <c r="G152" s="43" t="n"/>
      <c r="H152" s="43" t="n"/>
      <c r="I152" s="43" t="n"/>
      <c r="J152" s="43" t="n"/>
      <c r="K152" s="2" t="n"/>
      <c r="L152" s="2" t="n"/>
    </row>
    <row r="153">
      <c r="A153" s="42" t="n"/>
      <c r="B153" s="43" t="n"/>
      <c r="C153" s="5">
        <f>IF(B153="","",IFERROR(INDEX('Lista de materiales'!$C$5:$C$54,MATCH(B153,'Lista de materiales'!$A$5:$A$54,0)),"ID no existe"))</f>
        <v/>
      </c>
      <c r="D153" s="43" t="n"/>
      <c r="E153" s="43" t="n"/>
      <c r="F153" s="44" t="n"/>
      <c r="G153" s="43" t="n"/>
      <c r="H153" s="43" t="n"/>
      <c r="I153" s="43" t="n"/>
      <c r="J153" s="43" t="n"/>
      <c r="K153" s="2" t="n"/>
      <c r="L153" s="2" t="n"/>
    </row>
    <row r="154">
      <c r="A154" s="42" t="n"/>
      <c r="B154" s="43" t="n"/>
      <c r="C154" s="5">
        <f>IF(B154="","",IFERROR(INDEX('Lista de materiales'!$C$5:$C$54,MATCH(B154,'Lista de materiales'!$A$5:$A$54,0)),"ID no existe"))</f>
        <v/>
      </c>
      <c r="D154" s="43" t="n"/>
      <c r="E154" s="43" t="n"/>
      <c r="F154" s="44" t="n"/>
      <c r="G154" s="43" t="n"/>
      <c r="H154" s="43" t="n"/>
      <c r="I154" s="43" t="n"/>
      <c r="J154" s="43" t="n"/>
      <c r="K154" s="2" t="n"/>
      <c r="L154" s="2" t="n"/>
    </row>
    <row r="155">
      <c r="A155" s="42" t="n"/>
      <c r="B155" s="43" t="n"/>
      <c r="C155" s="5">
        <f>IF(B155="","",IFERROR(INDEX('Lista de materiales'!$C$5:$C$54,MATCH(B155,'Lista de materiales'!$A$5:$A$54,0)),"ID no existe"))</f>
        <v/>
      </c>
      <c r="D155" s="43" t="n"/>
      <c r="E155" s="43" t="n"/>
      <c r="F155" s="44" t="n"/>
      <c r="G155" s="43" t="n"/>
      <c r="H155" s="43" t="n"/>
      <c r="I155" s="43" t="n"/>
      <c r="J155" s="43" t="n"/>
      <c r="K155" s="2" t="n"/>
      <c r="L155" s="2" t="n"/>
    </row>
    <row r="156">
      <c r="A156" s="42" t="n"/>
      <c r="B156" s="43" t="n"/>
      <c r="C156" s="5">
        <f>IF(B156="","",IFERROR(INDEX('Lista de materiales'!$C$5:$C$54,MATCH(B156,'Lista de materiales'!$A$5:$A$54,0)),"ID no existe"))</f>
        <v/>
      </c>
      <c r="D156" s="43" t="n"/>
      <c r="E156" s="43" t="n"/>
      <c r="F156" s="44" t="n"/>
      <c r="G156" s="43" t="n"/>
      <c r="H156" s="43" t="n"/>
      <c r="I156" s="43" t="n"/>
      <c r="J156" s="43" t="n"/>
      <c r="K156" s="2" t="n"/>
      <c r="L156" s="2" t="n"/>
    </row>
    <row r="157">
      <c r="A157" s="42" t="n"/>
      <c r="B157" s="43" t="n"/>
      <c r="C157" s="5">
        <f>IF(B157="","",IFERROR(INDEX('Lista de materiales'!$C$5:$C$54,MATCH(B157,'Lista de materiales'!$A$5:$A$54,0)),"ID no existe"))</f>
        <v/>
      </c>
      <c r="D157" s="43" t="n"/>
      <c r="E157" s="43" t="n"/>
      <c r="F157" s="44" t="n"/>
      <c r="G157" s="43" t="n"/>
      <c r="H157" s="43" t="n"/>
      <c r="I157" s="43" t="n"/>
      <c r="J157" s="43" t="n"/>
      <c r="K157" s="2" t="n"/>
      <c r="L157" s="2" t="n"/>
    </row>
    <row r="158">
      <c r="A158" s="42" t="n"/>
      <c r="B158" s="43" t="n"/>
      <c r="C158" s="5">
        <f>IF(B158="","",IFERROR(INDEX('Lista de materiales'!$C$5:$C$54,MATCH(B158,'Lista de materiales'!$A$5:$A$54,0)),"ID no existe"))</f>
        <v/>
      </c>
      <c r="D158" s="43" t="n"/>
      <c r="E158" s="43" t="n"/>
      <c r="F158" s="44" t="n"/>
      <c r="G158" s="43" t="n"/>
      <c r="H158" s="43" t="n"/>
      <c r="I158" s="43" t="n"/>
      <c r="J158" s="43" t="n"/>
      <c r="K158" s="2" t="n"/>
      <c r="L158" s="2" t="n"/>
    </row>
    <row r="159">
      <c r="A159" s="42" t="n"/>
      <c r="B159" s="43" t="n"/>
      <c r="C159" s="5">
        <f>IF(B159="","",IFERROR(INDEX('Lista de materiales'!$C$5:$C$54,MATCH(B159,'Lista de materiales'!$A$5:$A$54,0)),"ID no existe"))</f>
        <v/>
      </c>
      <c r="D159" s="43" t="n"/>
      <c r="E159" s="43" t="n"/>
      <c r="F159" s="44" t="n"/>
      <c r="G159" s="43" t="n"/>
      <c r="H159" s="43" t="n"/>
      <c r="I159" s="43" t="n"/>
      <c r="J159" s="43" t="n"/>
      <c r="K159" s="2" t="n"/>
      <c r="L159" s="2" t="n"/>
    </row>
    <row r="160">
      <c r="A160" s="42" t="n"/>
      <c r="B160" s="43" t="n"/>
      <c r="C160" s="5">
        <f>IF(B160="","",IFERROR(INDEX('Lista de materiales'!$C$5:$C$54,MATCH(B160,'Lista de materiales'!$A$5:$A$54,0)),"ID no existe"))</f>
        <v/>
      </c>
      <c r="D160" s="43" t="n"/>
      <c r="E160" s="43" t="n"/>
      <c r="F160" s="44" t="n"/>
      <c r="G160" s="43" t="n"/>
      <c r="H160" s="43" t="n"/>
      <c r="I160" s="43" t="n"/>
      <c r="J160" s="43" t="n"/>
      <c r="K160" s="2" t="n"/>
      <c r="L160" s="2" t="n"/>
    </row>
    <row r="161">
      <c r="A161" s="42" t="n"/>
      <c r="B161" s="43" t="n"/>
      <c r="C161" s="5">
        <f>IF(B161="","",IFERROR(INDEX('Lista de materiales'!$C$5:$C$54,MATCH(B161,'Lista de materiales'!$A$5:$A$54,0)),"ID no existe"))</f>
        <v/>
      </c>
      <c r="D161" s="43" t="n"/>
      <c r="E161" s="43" t="n"/>
      <c r="F161" s="44" t="n"/>
      <c r="G161" s="43" t="n"/>
      <c r="H161" s="43" t="n"/>
      <c r="I161" s="43" t="n"/>
      <c r="J161" s="43" t="n"/>
      <c r="K161" s="2" t="n"/>
      <c r="L161" s="2" t="n"/>
    </row>
    <row r="162">
      <c r="A162" s="42" t="n"/>
      <c r="B162" s="43" t="n"/>
      <c r="C162" s="5">
        <f>IF(B162="","",IFERROR(INDEX('Lista de materiales'!$C$5:$C$54,MATCH(B162,'Lista de materiales'!$A$5:$A$54,0)),"ID no existe"))</f>
        <v/>
      </c>
      <c r="D162" s="43" t="n"/>
      <c r="E162" s="43" t="n"/>
      <c r="F162" s="44" t="n"/>
      <c r="G162" s="43" t="n"/>
      <c r="H162" s="43" t="n"/>
      <c r="I162" s="43" t="n"/>
      <c r="J162" s="43" t="n"/>
      <c r="K162" s="2" t="n"/>
      <c r="L162" s="2" t="n"/>
    </row>
    <row r="163">
      <c r="A163" s="42" t="n"/>
      <c r="B163" s="43" t="n"/>
      <c r="C163" s="5">
        <f>IF(B163="","",IFERROR(INDEX('Lista de materiales'!$C$5:$C$54,MATCH(B163,'Lista de materiales'!$A$5:$A$54,0)),"ID no existe"))</f>
        <v/>
      </c>
      <c r="D163" s="43" t="n"/>
      <c r="E163" s="43" t="n"/>
      <c r="F163" s="44" t="n"/>
      <c r="G163" s="43" t="n"/>
      <c r="H163" s="43" t="n"/>
      <c r="I163" s="43" t="n"/>
      <c r="J163" s="43" t="n"/>
      <c r="K163" s="2" t="n"/>
      <c r="L163" s="2" t="n"/>
    </row>
    <row r="164">
      <c r="A164" s="42" t="n"/>
      <c r="B164" s="43" t="n"/>
      <c r="C164" s="5">
        <f>IF(B164="","",IFERROR(INDEX('Lista de materiales'!$C$5:$C$54,MATCH(B164,'Lista de materiales'!$A$5:$A$54,0)),"ID no existe"))</f>
        <v/>
      </c>
      <c r="D164" s="43" t="n"/>
      <c r="E164" s="43" t="n"/>
      <c r="F164" s="44" t="n"/>
      <c r="G164" s="43" t="n"/>
      <c r="H164" s="43" t="n"/>
      <c r="I164" s="43" t="n"/>
      <c r="J164" s="43" t="n"/>
      <c r="K164" s="2" t="n"/>
      <c r="L164" s="2" t="n"/>
    </row>
    <row r="165">
      <c r="A165" s="42" t="n"/>
      <c r="B165" s="43" t="n"/>
      <c r="C165" s="5">
        <f>IF(B165="","",IFERROR(INDEX('Lista de materiales'!$C$5:$C$54,MATCH(B165,'Lista de materiales'!$A$5:$A$54,0)),"ID no existe"))</f>
        <v/>
      </c>
      <c r="D165" s="43" t="n"/>
      <c r="E165" s="43" t="n"/>
      <c r="F165" s="44" t="n"/>
      <c r="G165" s="43" t="n"/>
      <c r="H165" s="43" t="n"/>
      <c r="I165" s="43" t="n"/>
      <c r="J165" s="43" t="n"/>
      <c r="K165" s="2" t="n"/>
      <c r="L165" s="2" t="n"/>
    </row>
    <row r="166">
      <c r="A166" s="42" t="n"/>
      <c r="B166" s="43" t="n"/>
      <c r="C166" s="5">
        <f>IF(B166="","",IFERROR(INDEX('Lista de materiales'!$C$5:$C$54,MATCH(B166,'Lista de materiales'!$A$5:$A$54,0)),"ID no existe"))</f>
        <v/>
      </c>
      <c r="D166" s="43" t="n"/>
      <c r="E166" s="43" t="n"/>
      <c r="F166" s="44" t="n"/>
      <c r="G166" s="43" t="n"/>
      <c r="H166" s="43" t="n"/>
      <c r="I166" s="43" t="n"/>
      <c r="J166" s="43" t="n"/>
      <c r="K166" s="2" t="n"/>
      <c r="L166" s="2" t="n"/>
    </row>
    <row r="167">
      <c r="A167" s="42" t="n"/>
      <c r="B167" s="43" t="n"/>
      <c r="C167" s="5">
        <f>IF(B167="","",IFERROR(INDEX('Lista de materiales'!$C$5:$C$54,MATCH(B167,'Lista de materiales'!$A$5:$A$54,0)),"ID no existe"))</f>
        <v/>
      </c>
      <c r="D167" s="43" t="n"/>
      <c r="E167" s="43" t="n"/>
      <c r="F167" s="44" t="n"/>
      <c r="G167" s="43" t="n"/>
      <c r="H167" s="43" t="n"/>
      <c r="I167" s="43" t="n"/>
      <c r="J167" s="43" t="n"/>
      <c r="K167" s="2" t="n"/>
      <c r="L167" s="2" t="n"/>
    </row>
    <row r="168">
      <c r="A168" s="42" t="n"/>
      <c r="B168" s="43" t="n"/>
      <c r="C168" s="5">
        <f>IF(B168="","",IFERROR(INDEX('Lista de materiales'!$C$5:$C$54,MATCH(B168,'Lista de materiales'!$A$5:$A$54,0)),"ID no existe"))</f>
        <v/>
      </c>
      <c r="D168" s="43" t="n"/>
      <c r="E168" s="43" t="n"/>
      <c r="F168" s="44" t="n"/>
      <c r="G168" s="43" t="n"/>
      <c r="H168" s="43" t="n"/>
      <c r="I168" s="43" t="n"/>
      <c r="J168" s="43" t="n"/>
      <c r="K168" s="2" t="n"/>
      <c r="L168" s="2" t="n"/>
    </row>
    <row r="169">
      <c r="A169" s="42" t="n"/>
      <c r="B169" s="43" t="n"/>
      <c r="C169" s="5">
        <f>IF(B169="","",IFERROR(INDEX('Lista de materiales'!$C$5:$C$54,MATCH(B169,'Lista de materiales'!$A$5:$A$54,0)),"ID no existe"))</f>
        <v/>
      </c>
      <c r="D169" s="43" t="n"/>
      <c r="E169" s="43" t="n"/>
      <c r="F169" s="44" t="n"/>
      <c r="G169" s="43" t="n"/>
      <c r="H169" s="43" t="n"/>
      <c r="I169" s="43" t="n"/>
      <c r="J169" s="43" t="n"/>
      <c r="K169" s="2" t="n"/>
      <c r="L169" s="2" t="n"/>
    </row>
    <row r="170">
      <c r="A170" s="42" t="n"/>
      <c r="B170" s="43" t="n"/>
      <c r="C170" s="5">
        <f>IF(B170="","",IFERROR(INDEX('Lista de materiales'!$C$5:$C$54,MATCH(B170,'Lista de materiales'!$A$5:$A$54,0)),"ID no existe"))</f>
        <v/>
      </c>
      <c r="D170" s="43" t="n"/>
      <c r="E170" s="43" t="n"/>
      <c r="F170" s="44" t="n"/>
      <c r="G170" s="43" t="n"/>
      <c r="H170" s="43" t="n"/>
      <c r="I170" s="43" t="n"/>
      <c r="J170" s="43" t="n"/>
      <c r="K170" s="2" t="n"/>
      <c r="L170" s="2" t="n"/>
    </row>
    <row r="171">
      <c r="A171" s="42" t="n"/>
      <c r="B171" s="43" t="n"/>
      <c r="C171" s="5">
        <f>IF(B171="","",IFERROR(INDEX('Lista de materiales'!$C$5:$C$54,MATCH(B171,'Lista de materiales'!$A$5:$A$54,0)),"ID no existe"))</f>
        <v/>
      </c>
      <c r="D171" s="43" t="n"/>
      <c r="E171" s="43" t="n"/>
      <c r="F171" s="44" t="n"/>
      <c r="G171" s="43" t="n"/>
      <c r="H171" s="43" t="n"/>
      <c r="I171" s="43" t="n"/>
      <c r="J171" s="43" t="n"/>
      <c r="K171" s="2" t="n"/>
      <c r="L171" s="2" t="n"/>
    </row>
    <row r="172">
      <c r="A172" s="42" t="n"/>
      <c r="B172" s="43" t="n"/>
      <c r="C172" s="5">
        <f>IF(B172="","",IFERROR(INDEX('Lista de materiales'!$C$5:$C$54,MATCH(B172,'Lista de materiales'!$A$5:$A$54,0)),"ID no existe"))</f>
        <v/>
      </c>
      <c r="D172" s="43" t="n"/>
      <c r="E172" s="43" t="n"/>
      <c r="F172" s="44" t="n"/>
      <c r="G172" s="43" t="n"/>
      <c r="H172" s="43" t="n"/>
      <c r="I172" s="43" t="n"/>
      <c r="J172" s="43" t="n"/>
      <c r="K172" s="2" t="n"/>
      <c r="L172" s="2" t="n"/>
    </row>
    <row r="173">
      <c r="A173" s="42" t="n"/>
      <c r="B173" s="43" t="n"/>
      <c r="C173" s="5">
        <f>IF(B173="","",IFERROR(INDEX('Lista de materiales'!$C$5:$C$54,MATCH(B173,'Lista de materiales'!$A$5:$A$54,0)),"ID no existe"))</f>
        <v/>
      </c>
      <c r="D173" s="43" t="n"/>
      <c r="E173" s="43" t="n"/>
      <c r="F173" s="44" t="n"/>
      <c r="G173" s="43" t="n"/>
      <c r="H173" s="43" t="n"/>
      <c r="I173" s="43" t="n"/>
      <c r="J173" s="43" t="n"/>
      <c r="K173" s="2" t="n"/>
      <c r="L173" s="2" t="n"/>
    </row>
    <row r="174">
      <c r="A174" s="42" t="n"/>
      <c r="B174" s="43" t="n"/>
      <c r="C174" s="5">
        <f>IF(B174="","",IFERROR(INDEX('Lista de materiales'!$C$5:$C$54,MATCH(B174,'Lista de materiales'!$A$5:$A$54,0)),"ID no existe"))</f>
        <v/>
      </c>
      <c r="D174" s="43" t="n"/>
      <c r="E174" s="43" t="n"/>
      <c r="F174" s="44" t="n"/>
      <c r="G174" s="43" t="n"/>
      <c r="H174" s="43" t="n"/>
      <c r="I174" s="43" t="n"/>
      <c r="J174" s="43" t="n"/>
      <c r="K174" s="2" t="n"/>
      <c r="L174" s="2" t="n"/>
    </row>
    <row r="175">
      <c r="A175" s="42" t="n"/>
      <c r="B175" s="43" t="n"/>
      <c r="C175" s="5">
        <f>IF(B175="","",IFERROR(INDEX('Lista de materiales'!$C$5:$C$54,MATCH(B175,'Lista de materiales'!$A$5:$A$54,0)),"ID no existe"))</f>
        <v/>
      </c>
      <c r="D175" s="43" t="n"/>
      <c r="E175" s="43" t="n"/>
      <c r="F175" s="44" t="n"/>
      <c r="G175" s="43" t="n"/>
      <c r="H175" s="43" t="n"/>
      <c r="I175" s="43" t="n"/>
      <c r="J175" s="43" t="n"/>
      <c r="K175" s="2" t="n"/>
      <c r="L175" s="2" t="n"/>
    </row>
    <row r="176">
      <c r="A176" s="42" t="n"/>
      <c r="B176" s="43" t="n"/>
      <c r="C176" s="5">
        <f>IF(B176="","",IFERROR(INDEX('Lista de materiales'!$C$5:$C$54,MATCH(B176,'Lista de materiales'!$A$5:$A$54,0)),"ID no existe"))</f>
        <v/>
      </c>
      <c r="D176" s="43" t="n"/>
      <c r="E176" s="43" t="n"/>
      <c r="F176" s="44" t="n"/>
      <c r="G176" s="43" t="n"/>
      <c r="H176" s="43" t="n"/>
      <c r="I176" s="43" t="n"/>
      <c r="J176" s="43" t="n"/>
      <c r="K176" s="2" t="n"/>
      <c r="L176" s="2" t="n"/>
    </row>
    <row r="177">
      <c r="A177" s="42" t="n"/>
      <c r="B177" s="43" t="n"/>
      <c r="C177" s="5">
        <f>IF(B177="","",IFERROR(INDEX('Lista de materiales'!$C$5:$C$54,MATCH(B177,'Lista de materiales'!$A$5:$A$54,0)),"ID no existe"))</f>
        <v/>
      </c>
      <c r="D177" s="43" t="n"/>
      <c r="E177" s="43" t="n"/>
      <c r="F177" s="44" t="n"/>
      <c r="G177" s="43" t="n"/>
      <c r="H177" s="43" t="n"/>
      <c r="I177" s="43" t="n"/>
      <c r="J177" s="43" t="n"/>
      <c r="K177" s="2" t="n"/>
      <c r="L177" s="2" t="n"/>
    </row>
    <row r="178">
      <c r="A178" s="42" t="n"/>
      <c r="B178" s="43" t="n"/>
      <c r="C178" s="5">
        <f>IF(B178="","",IFERROR(INDEX('Lista de materiales'!$C$5:$C$54,MATCH(B178,'Lista de materiales'!$A$5:$A$54,0)),"ID no existe"))</f>
        <v/>
      </c>
      <c r="D178" s="43" t="n"/>
      <c r="E178" s="43" t="n"/>
      <c r="F178" s="44" t="n"/>
      <c r="G178" s="43" t="n"/>
      <c r="H178" s="43" t="n"/>
      <c r="I178" s="43" t="n"/>
      <c r="J178" s="43" t="n"/>
      <c r="K178" s="2" t="n"/>
      <c r="L178" s="2" t="n"/>
    </row>
    <row r="179">
      <c r="A179" s="42" t="n"/>
      <c r="B179" s="43" t="n"/>
      <c r="C179" s="5">
        <f>IF(B179="","",IFERROR(INDEX('Lista de materiales'!$C$5:$C$54,MATCH(B179,'Lista de materiales'!$A$5:$A$54,0)),"ID no existe"))</f>
        <v/>
      </c>
      <c r="D179" s="43" t="n"/>
      <c r="E179" s="43" t="n"/>
      <c r="F179" s="44" t="n"/>
      <c r="G179" s="43" t="n"/>
      <c r="H179" s="43" t="n"/>
      <c r="I179" s="43" t="n"/>
      <c r="J179" s="43" t="n"/>
      <c r="K179" s="2" t="n"/>
      <c r="L179" s="2" t="n"/>
    </row>
    <row r="180">
      <c r="A180" s="42" t="n"/>
      <c r="B180" s="43" t="n"/>
      <c r="C180" s="5">
        <f>IF(B180="","",IFERROR(INDEX('Lista de materiales'!$C$5:$C$54,MATCH(B180,'Lista de materiales'!$A$5:$A$54,0)),"ID no existe"))</f>
        <v/>
      </c>
      <c r="D180" s="43" t="n"/>
      <c r="E180" s="43" t="n"/>
      <c r="F180" s="44" t="n"/>
      <c r="G180" s="43" t="n"/>
      <c r="H180" s="43" t="n"/>
      <c r="I180" s="43" t="n"/>
      <c r="J180" s="43" t="n"/>
      <c r="K180" s="2" t="n"/>
      <c r="L180" s="2" t="n"/>
    </row>
    <row r="181">
      <c r="A181" s="42" t="n"/>
      <c r="B181" s="43" t="n"/>
      <c r="C181" s="5">
        <f>IF(B181="","",IFERROR(INDEX('Lista de materiales'!$C$5:$C$54,MATCH(B181,'Lista de materiales'!$A$5:$A$54,0)),"ID no existe"))</f>
        <v/>
      </c>
      <c r="D181" s="43" t="n"/>
      <c r="E181" s="43" t="n"/>
      <c r="F181" s="44" t="n"/>
      <c r="G181" s="43" t="n"/>
      <c r="H181" s="43" t="n"/>
      <c r="I181" s="43" t="n"/>
      <c r="J181" s="43" t="n"/>
      <c r="K181" s="2" t="n"/>
      <c r="L181" s="2" t="n"/>
    </row>
    <row r="182">
      <c r="A182" s="42" t="n"/>
      <c r="B182" s="43" t="n"/>
      <c r="C182" s="5">
        <f>IF(B182="","",IFERROR(INDEX('Lista de materiales'!$C$5:$C$54,MATCH(B182,'Lista de materiales'!$A$5:$A$54,0)),"ID no existe"))</f>
        <v/>
      </c>
      <c r="D182" s="43" t="n"/>
      <c r="E182" s="43" t="n"/>
      <c r="F182" s="44" t="n"/>
      <c r="G182" s="43" t="n"/>
      <c r="H182" s="43" t="n"/>
      <c r="I182" s="43" t="n"/>
      <c r="J182" s="43" t="n"/>
      <c r="K182" s="2" t="n"/>
      <c r="L182" s="2" t="n"/>
    </row>
    <row r="183">
      <c r="A183" s="42" t="n"/>
      <c r="B183" s="43" t="n"/>
      <c r="C183" s="5">
        <f>IF(B183="","",IFERROR(INDEX('Lista de materiales'!$C$5:$C$54,MATCH(B183,'Lista de materiales'!$A$5:$A$54,0)),"ID no existe"))</f>
        <v/>
      </c>
      <c r="D183" s="43" t="n"/>
      <c r="E183" s="43" t="n"/>
      <c r="F183" s="44" t="n"/>
      <c r="G183" s="43" t="n"/>
      <c r="H183" s="43" t="n"/>
      <c r="I183" s="43" t="n"/>
      <c r="J183" s="43" t="n"/>
      <c r="K183" s="2" t="n"/>
      <c r="L183" s="2" t="n"/>
    </row>
    <row r="184">
      <c r="A184" s="42" t="n"/>
      <c r="B184" s="43" t="n"/>
      <c r="C184" s="5">
        <f>IF(B184="","",IFERROR(INDEX('Lista de materiales'!$C$5:$C$54,MATCH(B184,'Lista de materiales'!$A$5:$A$54,0)),"ID no existe"))</f>
        <v/>
      </c>
      <c r="D184" s="43" t="n"/>
      <c r="E184" s="43" t="n"/>
      <c r="F184" s="44" t="n"/>
      <c r="G184" s="43" t="n"/>
      <c r="H184" s="43" t="n"/>
      <c r="I184" s="43" t="n"/>
      <c r="J184" s="43" t="n"/>
      <c r="K184" s="2" t="n"/>
      <c r="L184" s="2" t="n"/>
    </row>
    <row r="185">
      <c r="A185" s="42" t="n"/>
      <c r="B185" s="43" t="n"/>
      <c r="C185" s="5">
        <f>IF(B185="","",IFERROR(INDEX('Lista de materiales'!$C$5:$C$54,MATCH(B185,'Lista de materiales'!$A$5:$A$54,0)),"ID no existe"))</f>
        <v/>
      </c>
      <c r="D185" s="43" t="n"/>
      <c r="E185" s="43" t="n"/>
      <c r="F185" s="44" t="n"/>
      <c r="G185" s="43" t="n"/>
      <c r="H185" s="43" t="n"/>
      <c r="I185" s="43" t="n"/>
      <c r="J185" s="43" t="n"/>
      <c r="K185" s="2" t="n"/>
      <c r="L185" s="2" t="n"/>
    </row>
    <row r="186">
      <c r="A186" s="42" t="n"/>
      <c r="B186" s="43" t="n"/>
      <c r="C186" s="5">
        <f>IF(B186="","",IFERROR(INDEX('Lista de materiales'!$C$5:$C$54,MATCH(B186,'Lista de materiales'!$A$5:$A$54,0)),"ID no existe"))</f>
        <v/>
      </c>
      <c r="D186" s="43" t="n"/>
      <c r="E186" s="43" t="n"/>
      <c r="F186" s="44" t="n"/>
      <c r="G186" s="43" t="n"/>
      <c r="H186" s="43" t="n"/>
      <c r="I186" s="43" t="n"/>
      <c r="J186" s="43" t="n"/>
      <c r="K186" s="2" t="n"/>
      <c r="L186" s="2" t="n"/>
    </row>
    <row r="187">
      <c r="A187" s="42" t="n"/>
      <c r="B187" s="43" t="n"/>
      <c r="C187" s="5">
        <f>IF(B187="","",IFERROR(INDEX('Lista de materiales'!$C$5:$C$54,MATCH(B187,'Lista de materiales'!$A$5:$A$54,0)),"ID no existe"))</f>
        <v/>
      </c>
      <c r="D187" s="43" t="n"/>
      <c r="E187" s="43" t="n"/>
      <c r="F187" s="44" t="n"/>
      <c r="G187" s="43" t="n"/>
      <c r="H187" s="43" t="n"/>
      <c r="I187" s="43" t="n"/>
      <c r="J187" s="43" t="n"/>
      <c r="K187" s="2" t="n"/>
      <c r="L187" s="2" t="n"/>
    </row>
    <row r="188">
      <c r="A188" s="42" t="n"/>
      <c r="B188" s="43" t="n"/>
      <c r="C188" s="5">
        <f>IF(B188="","",IFERROR(INDEX('Lista de materiales'!$C$5:$C$54,MATCH(B188,'Lista de materiales'!$A$5:$A$54,0)),"ID no existe"))</f>
        <v/>
      </c>
      <c r="D188" s="43" t="n"/>
      <c r="E188" s="43" t="n"/>
      <c r="F188" s="44" t="n"/>
      <c r="G188" s="43" t="n"/>
      <c r="H188" s="43" t="n"/>
      <c r="I188" s="43" t="n"/>
      <c r="J188" s="43" t="n"/>
      <c r="K188" s="2" t="n"/>
      <c r="L188" s="2" t="n"/>
    </row>
    <row r="189">
      <c r="A189" s="42" t="n"/>
      <c r="B189" s="43" t="n"/>
      <c r="C189" s="5">
        <f>IF(B189="","",IFERROR(INDEX('Lista de materiales'!$C$5:$C$54,MATCH(B189,'Lista de materiales'!$A$5:$A$54,0)),"ID no existe"))</f>
        <v/>
      </c>
      <c r="D189" s="43" t="n"/>
      <c r="E189" s="43" t="n"/>
      <c r="F189" s="44" t="n"/>
      <c r="G189" s="43" t="n"/>
      <c r="H189" s="43" t="n"/>
      <c r="I189" s="43" t="n"/>
      <c r="J189" s="43" t="n"/>
      <c r="K189" s="2" t="n"/>
      <c r="L189" s="2" t="n"/>
    </row>
    <row r="190">
      <c r="A190" s="42" t="n"/>
      <c r="B190" s="43" t="n"/>
      <c r="C190" s="5">
        <f>IF(B190="","",IFERROR(INDEX('Lista de materiales'!$C$5:$C$54,MATCH(B190,'Lista de materiales'!$A$5:$A$54,0)),"ID no existe"))</f>
        <v/>
      </c>
      <c r="D190" s="43" t="n"/>
      <c r="E190" s="43" t="n"/>
      <c r="F190" s="44" t="n"/>
      <c r="G190" s="43" t="n"/>
      <c r="H190" s="43" t="n"/>
      <c r="I190" s="43" t="n"/>
      <c r="J190" s="43" t="n"/>
      <c r="K190" s="2" t="n"/>
      <c r="L190" s="2" t="n"/>
    </row>
    <row r="191">
      <c r="A191" s="42" t="n"/>
      <c r="B191" s="43" t="n"/>
      <c r="C191" s="5">
        <f>IF(B191="","",IFERROR(INDEX('Lista de materiales'!$C$5:$C$54,MATCH(B191,'Lista de materiales'!$A$5:$A$54,0)),"ID no existe"))</f>
        <v/>
      </c>
      <c r="D191" s="43" t="n"/>
      <c r="E191" s="43" t="n"/>
      <c r="F191" s="44" t="n"/>
      <c r="G191" s="43" t="n"/>
      <c r="H191" s="43" t="n"/>
      <c r="I191" s="43" t="n"/>
      <c r="J191" s="43" t="n"/>
      <c r="K191" s="2" t="n"/>
      <c r="L191" s="2" t="n"/>
    </row>
    <row r="192">
      <c r="A192" s="42" t="n"/>
      <c r="B192" s="43" t="n"/>
      <c r="C192" s="5">
        <f>IF(B192="","",IFERROR(INDEX('Lista de materiales'!$C$5:$C$54,MATCH(B192,'Lista de materiales'!$A$5:$A$54,0)),"ID no existe"))</f>
        <v/>
      </c>
      <c r="D192" s="43" t="n"/>
      <c r="E192" s="43" t="n"/>
      <c r="F192" s="44" t="n"/>
      <c r="G192" s="43" t="n"/>
      <c r="H192" s="43" t="n"/>
      <c r="I192" s="43" t="n"/>
      <c r="J192" s="43" t="n"/>
      <c r="K192" s="2" t="n"/>
      <c r="L192" s="2" t="n"/>
    </row>
    <row r="193">
      <c r="A193" s="42" t="n"/>
      <c r="B193" s="43" t="n"/>
      <c r="C193" s="5">
        <f>IF(B193="","",IFERROR(INDEX('Lista de materiales'!$C$5:$C$54,MATCH(B193,'Lista de materiales'!$A$5:$A$54,0)),"ID no existe"))</f>
        <v/>
      </c>
      <c r="D193" s="43" t="n"/>
      <c r="E193" s="43" t="n"/>
      <c r="F193" s="44" t="n"/>
      <c r="G193" s="43" t="n"/>
      <c r="H193" s="43" t="n"/>
      <c r="I193" s="43" t="n"/>
      <c r="J193" s="43" t="n"/>
      <c r="K193" s="2" t="n"/>
      <c r="L193" s="2" t="n"/>
    </row>
    <row r="194">
      <c r="A194" s="42" t="n"/>
      <c r="B194" s="43" t="n"/>
      <c r="C194" s="5">
        <f>IF(B194="","",IFERROR(INDEX('Lista de materiales'!$C$5:$C$54,MATCH(B194,'Lista de materiales'!$A$5:$A$54,0)),"ID no existe"))</f>
        <v/>
      </c>
      <c r="D194" s="43" t="n"/>
      <c r="E194" s="43" t="n"/>
      <c r="F194" s="44" t="n"/>
      <c r="G194" s="43" t="n"/>
      <c r="H194" s="43" t="n"/>
      <c r="I194" s="43" t="n"/>
      <c r="J194" s="43" t="n"/>
      <c r="K194" s="2" t="n"/>
      <c r="L194" s="2" t="n"/>
    </row>
    <row r="195">
      <c r="A195" s="42" t="n"/>
      <c r="B195" s="43" t="n"/>
      <c r="C195" s="5">
        <f>IF(B195="","",IFERROR(INDEX('Lista de materiales'!$C$5:$C$54,MATCH(B195,'Lista de materiales'!$A$5:$A$54,0)),"ID no existe"))</f>
        <v/>
      </c>
      <c r="D195" s="43" t="n"/>
      <c r="E195" s="43" t="n"/>
      <c r="F195" s="44" t="n"/>
      <c r="G195" s="43" t="n"/>
      <c r="H195" s="43" t="n"/>
      <c r="I195" s="43" t="n"/>
      <c r="J195" s="43" t="n"/>
      <c r="K195" s="2" t="n"/>
      <c r="L195" s="2" t="n"/>
    </row>
    <row r="196">
      <c r="A196" s="42" t="n"/>
      <c r="B196" s="43" t="n"/>
      <c r="C196" s="5">
        <f>IF(B196="","",IFERROR(INDEX('Lista de materiales'!$C$5:$C$54,MATCH(B196,'Lista de materiales'!$A$5:$A$54,0)),"ID no existe"))</f>
        <v/>
      </c>
      <c r="D196" s="43" t="n"/>
      <c r="E196" s="43" t="n"/>
      <c r="F196" s="44" t="n"/>
      <c r="G196" s="43" t="n"/>
      <c r="H196" s="43" t="n"/>
      <c r="I196" s="43" t="n"/>
      <c r="J196" s="43" t="n"/>
      <c r="K196" s="2" t="n"/>
      <c r="L196" s="2" t="n"/>
    </row>
    <row r="197">
      <c r="A197" s="42" t="n"/>
      <c r="B197" s="43" t="n"/>
      <c r="C197" s="5">
        <f>IF(B197="","",IFERROR(INDEX('Lista de materiales'!$C$5:$C$54,MATCH(B197,'Lista de materiales'!$A$5:$A$54,0)),"ID no existe"))</f>
        <v/>
      </c>
      <c r="D197" s="43" t="n"/>
      <c r="E197" s="43" t="n"/>
      <c r="F197" s="44" t="n"/>
      <c r="G197" s="43" t="n"/>
      <c r="H197" s="43" t="n"/>
      <c r="I197" s="43" t="n"/>
      <c r="J197" s="43" t="n"/>
      <c r="K197" s="2" t="n"/>
      <c r="L197" s="2" t="n"/>
    </row>
    <row r="198">
      <c r="A198" s="42" t="n"/>
      <c r="B198" s="43" t="n"/>
      <c r="C198" s="5">
        <f>IF(B198="","",IFERROR(INDEX('Lista de materiales'!$C$5:$C$54,MATCH(B198,'Lista de materiales'!$A$5:$A$54,0)),"ID no existe"))</f>
        <v/>
      </c>
      <c r="D198" s="43" t="n"/>
      <c r="E198" s="43" t="n"/>
      <c r="F198" s="44" t="n"/>
      <c r="G198" s="43" t="n"/>
      <c r="H198" s="43" t="n"/>
      <c r="I198" s="43" t="n"/>
      <c r="J198" s="43" t="n"/>
      <c r="K198" s="2" t="n"/>
      <c r="L198" s="2" t="n"/>
    </row>
    <row r="199">
      <c r="A199" s="42" t="n"/>
      <c r="B199" s="43" t="n"/>
      <c r="C199" s="5">
        <f>IF(B199="","",IFERROR(INDEX('Lista de materiales'!$C$5:$C$54,MATCH(B199,'Lista de materiales'!$A$5:$A$54,0)),"ID no existe"))</f>
        <v/>
      </c>
      <c r="D199" s="43" t="n"/>
      <c r="E199" s="43" t="n"/>
      <c r="F199" s="44" t="n"/>
      <c r="G199" s="43" t="n"/>
      <c r="H199" s="43" t="n"/>
      <c r="I199" s="43" t="n"/>
      <c r="J199" s="43" t="n"/>
      <c r="K199" s="2" t="n"/>
      <c r="L199" s="2" t="n"/>
    </row>
    <row r="200">
      <c r="A200" s="42" t="n"/>
      <c r="B200" s="43" t="n"/>
      <c r="C200" s="5">
        <f>IF(B200="","",IFERROR(INDEX('Lista de materiales'!$C$5:$C$54,MATCH(B200,'Lista de materiales'!$A$5:$A$54,0)),"ID no existe"))</f>
        <v/>
      </c>
      <c r="D200" s="43" t="n"/>
      <c r="E200" s="43" t="n"/>
      <c r="F200" s="44" t="n"/>
      <c r="G200" s="43" t="n"/>
      <c r="H200" s="43" t="n"/>
      <c r="I200" s="43" t="n"/>
      <c r="J200" s="43" t="n"/>
      <c r="K200" s="2" t="n"/>
      <c r="L200" s="2" t="n"/>
    </row>
    <row r="201">
      <c r="A201" s="42" t="n"/>
      <c r="B201" s="43" t="n"/>
      <c r="C201" s="5">
        <f>IF(B201="","",IFERROR(INDEX('Lista de materiales'!$C$5:$C$54,MATCH(B201,'Lista de materiales'!$A$5:$A$54,0)),"ID no existe"))</f>
        <v/>
      </c>
      <c r="D201" s="43" t="n"/>
      <c r="E201" s="43" t="n"/>
      <c r="F201" s="44" t="n"/>
      <c r="G201" s="43" t="n"/>
      <c r="H201" s="43" t="n"/>
      <c r="I201" s="43" t="n"/>
      <c r="J201" s="43" t="n"/>
      <c r="K201" s="2" t="n"/>
      <c r="L201" s="2" t="n"/>
    </row>
    <row r="202">
      <c r="A202" s="42" t="n"/>
      <c r="B202" s="43" t="n"/>
      <c r="C202" s="5">
        <f>IF(B202="","",IFERROR(INDEX('Lista de materiales'!$C$5:$C$54,MATCH(B202,'Lista de materiales'!$A$5:$A$54,0)),"ID no existe"))</f>
        <v/>
      </c>
      <c r="D202" s="43" t="n"/>
      <c r="E202" s="43" t="n"/>
      <c r="F202" s="44" t="n"/>
      <c r="G202" s="43" t="n"/>
      <c r="H202" s="43" t="n"/>
      <c r="I202" s="43" t="n"/>
      <c r="J202" s="43" t="n"/>
      <c r="K202" s="2" t="n"/>
      <c r="L202" s="2" t="n"/>
    </row>
    <row r="203">
      <c r="A203" s="42" t="n"/>
      <c r="B203" s="43" t="n"/>
      <c r="C203" s="5">
        <f>IF(B203="","",IFERROR(INDEX('Lista de materiales'!$C$5:$C$54,MATCH(B203,'Lista de materiales'!$A$5:$A$54,0)),"ID no existe"))</f>
        <v/>
      </c>
      <c r="D203" s="43" t="n"/>
      <c r="E203" s="43" t="n"/>
      <c r="F203" s="44" t="n"/>
      <c r="G203" s="43" t="n"/>
      <c r="H203" s="43" t="n"/>
      <c r="I203" s="43" t="n"/>
      <c r="J203" s="43" t="n"/>
      <c r="K203" s="2" t="n"/>
      <c r="L203" s="2" t="n"/>
    </row>
    <row r="204">
      <c r="A204" s="42" t="n"/>
      <c r="B204" s="43" t="n"/>
      <c r="C204" s="5">
        <f>IF(B204="","",IFERROR(INDEX('Lista de materiales'!$C$5:$C$54,MATCH(B204,'Lista de materiales'!$A$5:$A$54,0)),"ID no existe"))</f>
        <v/>
      </c>
      <c r="D204" s="43" t="n"/>
      <c r="E204" s="43" t="n"/>
      <c r="F204" s="44" t="n"/>
      <c r="G204" s="43" t="n"/>
      <c r="H204" s="43" t="n"/>
      <c r="I204" s="43" t="n"/>
      <c r="J204" s="43" t="n"/>
      <c r="K204" s="2" t="n"/>
      <c r="L204" s="2" t="n"/>
    </row>
    <row r="205">
      <c r="A205" s="42" t="n"/>
      <c r="B205" s="43" t="n"/>
      <c r="C205" s="5">
        <f>IF(B205="","",IFERROR(INDEX('Lista de materiales'!$C$5:$C$54,MATCH(B205,'Lista de materiales'!$A$5:$A$54,0)),"ID no existe"))</f>
        <v/>
      </c>
      <c r="D205" s="43" t="n"/>
      <c r="E205" s="43" t="n"/>
      <c r="F205" s="44" t="n"/>
      <c r="G205" s="43" t="n"/>
      <c r="H205" s="43" t="n"/>
      <c r="I205" s="43" t="n"/>
      <c r="J205" s="43" t="n"/>
      <c r="K205" s="2" t="n"/>
      <c r="L205" s="2" t="n"/>
    </row>
    <row r="206">
      <c r="A206" s="42" t="n"/>
      <c r="B206" s="43" t="n"/>
      <c r="C206" s="5">
        <f>IF(B206="","",IFERROR(INDEX('Lista de materiales'!$C$5:$C$54,MATCH(B206,'Lista de materiales'!$A$5:$A$54,0)),"ID no existe"))</f>
        <v/>
      </c>
      <c r="D206" s="43" t="n"/>
      <c r="E206" s="43" t="n"/>
      <c r="F206" s="44" t="n"/>
      <c r="G206" s="43" t="n"/>
      <c r="H206" s="43" t="n"/>
      <c r="I206" s="43" t="n"/>
      <c r="J206" s="43" t="n"/>
      <c r="K206" s="2" t="n"/>
      <c r="L206" s="2" t="n"/>
    </row>
    <row r="207">
      <c r="A207" s="42" t="n"/>
      <c r="B207" s="43" t="n"/>
      <c r="C207" s="5">
        <f>IF(B207="","",IFERROR(INDEX('Lista de materiales'!$C$5:$C$54,MATCH(B207,'Lista de materiales'!$A$5:$A$54,0)),"ID no existe"))</f>
        <v/>
      </c>
      <c r="D207" s="43" t="n"/>
      <c r="E207" s="43" t="n"/>
      <c r="F207" s="44" t="n"/>
      <c r="G207" s="43" t="n"/>
      <c r="H207" s="43" t="n"/>
      <c r="I207" s="43" t="n"/>
      <c r="J207" s="43" t="n"/>
      <c r="K207" s="2" t="n"/>
      <c r="L207" s="2" t="n"/>
    </row>
    <row r="208">
      <c r="A208" s="42" t="n"/>
      <c r="B208" s="43" t="n"/>
      <c r="C208" s="5">
        <f>IF(B208="","",IFERROR(INDEX('Lista de materiales'!$C$5:$C$54,MATCH(B208,'Lista de materiales'!$A$5:$A$54,0)),"ID no existe"))</f>
        <v/>
      </c>
      <c r="D208" s="43" t="n"/>
      <c r="E208" s="43" t="n"/>
      <c r="F208" s="44" t="n"/>
      <c r="G208" s="43" t="n"/>
      <c r="H208" s="43" t="n"/>
      <c r="I208" s="43" t="n"/>
      <c r="J208" s="43" t="n"/>
      <c r="K208" s="2" t="n"/>
      <c r="L208" s="2" t="n"/>
    </row>
    <row r="209">
      <c r="A209" s="42" t="n"/>
      <c r="B209" s="43" t="n"/>
      <c r="C209" s="5">
        <f>IF(B209="","",IFERROR(INDEX('Lista de materiales'!$C$5:$C$54,MATCH(B209,'Lista de materiales'!$A$5:$A$54,0)),"ID no existe"))</f>
        <v/>
      </c>
      <c r="D209" s="43" t="n"/>
      <c r="E209" s="43" t="n"/>
      <c r="F209" s="44" t="n"/>
      <c r="G209" s="43" t="n"/>
      <c r="H209" s="43" t="n"/>
      <c r="I209" s="43" t="n"/>
      <c r="J209" s="43" t="n"/>
      <c r="K209" s="2" t="n"/>
      <c r="L209" s="2" t="n"/>
    </row>
    <row r="210">
      <c r="A210" s="42" t="n"/>
      <c r="B210" s="43" t="n"/>
      <c r="C210" s="5">
        <f>IF(B210="","",IFERROR(INDEX('Lista de materiales'!$C$5:$C$54,MATCH(B210,'Lista de materiales'!$A$5:$A$54,0)),"ID no existe"))</f>
        <v/>
      </c>
      <c r="D210" s="43" t="n"/>
      <c r="E210" s="43" t="n"/>
      <c r="F210" s="44" t="n"/>
      <c r="G210" s="43" t="n"/>
      <c r="H210" s="43" t="n"/>
      <c r="I210" s="43" t="n"/>
      <c r="J210" s="43" t="n"/>
      <c r="K210" s="2" t="n"/>
      <c r="L210" s="2" t="n"/>
    </row>
    <row r="211">
      <c r="A211" s="42" t="n"/>
      <c r="B211" s="43" t="n"/>
      <c r="C211" s="5">
        <f>IF(B211="","",IFERROR(INDEX('Lista de materiales'!$C$5:$C$54,MATCH(B211,'Lista de materiales'!$A$5:$A$54,0)),"ID no existe"))</f>
        <v/>
      </c>
      <c r="D211" s="43" t="n"/>
      <c r="E211" s="43" t="n"/>
      <c r="F211" s="44" t="n"/>
      <c r="G211" s="43" t="n"/>
      <c r="H211" s="43" t="n"/>
      <c r="I211" s="43" t="n"/>
      <c r="J211" s="43" t="n"/>
      <c r="K211" s="2" t="n"/>
      <c r="L211" s="2" t="n"/>
    </row>
    <row r="212">
      <c r="A212" s="42" t="n"/>
      <c r="B212" s="43" t="n"/>
      <c r="C212" s="5">
        <f>IF(B212="","",IFERROR(INDEX('Lista de materiales'!$C$5:$C$54,MATCH(B212,'Lista de materiales'!$A$5:$A$54,0)),"ID no existe"))</f>
        <v/>
      </c>
      <c r="D212" s="43" t="n"/>
      <c r="E212" s="43" t="n"/>
      <c r="F212" s="44" t="n"/>
      <c r="G212" s="43" t="n"/>
      <c r="H212" s="43" t="n"/>
      <c r="I212" s="43" t="n"/>
      <c r="J212" s="43" t="n"/>
      <c r="K212" s="2" t="n"/>
      <c r="L212" s="2" t="n"/>
    </row>
    <row r="213">
      <c r="A213" s="42" t="n"/>
      <c r="B213" s="43" t="n"/>
      <c r="C213" s="5">
        <f>IF(B213="","",IFERROR(INDEX('Lista de materiales'!$C$5:$C$54,MATCH(B213,'Lista de materiales'!$A$5:$A$54,0)),"ID no existe"))</f>
        <v/>
      </c>
      <c r="D213" s="43" t="n"/>
      <c r="E213" s="43" t="n"/>
      <c r="F213" s="44" t="n"/>
      <c r="G213" s="43" t="n"/>
      <c r="H213" s="43" t="n"/>
      <c r="I213" s="43" t="n"/>
      <c r="J213" s="43" t="n"/>
      <c r="K213" s="2" t="n"/>
      <c r="L213" s="2" t="n"/>
    </row>
    <row r="214">
      <c r="A214" s="42" t="n"/>
      <c r="B214" s="43" t="n"/>
      <c r="C214" s="5">
        <f>IF(B214="","",IFERROR(INDEX('Lista de materiales'!$C$5:$C$54,MATCH(B214,'Lista de materiales'!$A$5:$A$54,0)),"ID no existe"))</f>
        <v/>
      </c>
      <c r="D214" s="43" t="n"/>
      <c r="E214" s="43" t="n"/>
      <c r="F214" s="44" t="n"/>
      <c r="G214" s="43" t="n"/>
      <c r="H214" s="43" t="n"/>
      <c r="I214" s="43" t="n"/>
      <c r="J214" s="43" t="n"/>
      <c r="K214" s="2" t="n"/>
      <c r="L214" s="2" t="n"/>
    </row>
    <row r="215">
      <c r="A215" s="42" t="n"/>
      <c r="B215" s="43" t="n"/>
      <c r="C215" s="5">
        <f>IF(B215="","",IFERROR(INDEX('Lista de materiales'!$C$5:$C$54,MATCH(B215,'Lista de materiales'!$A$5:$A$54,0)),"ID no existe"))</f>
        <v/>
      </c>
      <c r="D215" s="43" t="n"/>
      <c r="E215" s="43" t="n"/>
      <c r="F215" s="44" t="n"/>
      <c r="G215" s="43" t="n"/>
      <c r="H215" s="43" t="n"/>
      <c r="I215" s="43" t="n"/>
      <c r="J215" s="43" t="n"/>
      <c r="K215" s="2" t="n"/>
      <c r="L215" s="2" t="n"/>
    </row>
    <row r="216">
      <c r="A216" s="42" t="n"/>
      <c r="B216" s="43" t="n"/>
      <c r="C216" s="5">
        <f>IF(B216="","",IFERROR(INDEX('Lista de materiales'!$C$5:$C$54,MATCH(B216,'Lista de materiales'!$A$5:$A$54,0)),"ID no existe"))</f>
        <v/>
      </c>
      <c r="D216" s="43" t="n"/>
      <c r="E216" s="43" t="n"/>
      <c r="F216" s="44" t="n"/>
      <c r="G216" s="43" t="n"/>
      <c r="H216" s="43" t="n"/>
      <c r="I216" s="43" t="n"/>
      <c r="J216" s="43" t="n"/>
      <c r="K216" s="2" t="n"/>
      <c r="L216" s="2" t="n"/>
    </row>
    <row r="217">
      <c r="A217" s="42" t="n"/>
      <c r="B217" s="43" t="n"/>
      <c r="C217" s="5">
        <f>IF(B217="","",IFERROR(INDEX('Lista de materiales'!$C$5:$C$54,MATCH(B217,'Lista de materiales'!$A$5:$A$54,0)),"ID no existe"))</f>
        <v/>
      </c>
      <c r="D217" s="43" t="n"/>
      <c r="E217" s="43" t="n"/>
      <c r="F217" s="44" t="n"/>
      <c r="G217" s="43" t="n"/>
      <c r="H217" s="43" t="n"/>
      <c r="I217" s="43" t="n"/>
      <c r="J217" s="43" t="n"/>
      <c r="K217" s="2" t="n"/>
      <c r="L217" s="2" t="n"/>
    </row>
    <row r="218">
      <c r="A218" s="42" t="n"/>
      <c r="B218" s="43" t="n"/>
      <c r="C218" s="5">
        <f>IF(B218="","",IFERROR(INDEX('Lista de materiales'!$C$5:$C$54,MATCH(B218,'Lista de materiales'!$A$5:$A$54,0)),"ID no existe"))</f>
        <v/>
      </c>
      <c r="D218" s="43" t="n"/>
      <c r="E218" s="43" t="n"/>
      <c r="F218" s="44" t="n"/>
      <c r="G218" s="43" t="n"/>
      <c r="H218" s="43" t="n"/>
      <c r="I218" s="43" t="n"/>
      <c r="J218" s="43" t="n"/>
      <c r="K218" s="2" t="n"/>
      <c r="L218" s="2" t="n"/>
    </row>
    <row r="219">
      <c r="A219" s="42" t="n"/>
      <c r="B219" s="43" t="n"/>
      <c r="C219" s="5">
        <f>IF(B219="","",IFERROR(INDEX('Lista de materiales'!$C$5:$C$54,MATCH(B219,'Lista de materiales'!$A$5:$A$54,0)),"ID no existe"))</f>
        <v/>
      </c>
      <c r="D219" s="43" t="n"/>
      <c r="E219" s="43" t="n"/>
      <c r="F219" s="44" t="n"/>
      <c r="G219" s="43" t="n"/>
      <c r="H219" s="43" t="n"/>
      <c r="I219" s="43" t="n"/>
      <c r="J219" s="43" t="n"/>
      <c r="K219" s="2" t="n"/>
      <c r="L219" s="2" t="n"/>
    </row>
    <row r="220">
      <c r="A220" s="42" t="n"/>
      <c r="B220" s="43" t="n"/>
      <c r="C220" s="5">
        <f>IF(B220="","",IFERROR(INDEX('Lista de materiales'!$C$5:$C$54,MATCH(B220,'Lista de materiales'!$A$5:$A$54,0)),"ID no existe"))</f>
        <v/>
      </c>
      <c r="D220" s="43" t="n"/>
      <c r="E220" s="43" t="n"/>
      <c r="F220" s="44" t="n"/>
      <c r="G220" s="43" t="n"/>
      <c r="H220" s="43" t="n"/>
      <c r="I220" s="43" t="n"/>
      <c r="J220" s="43" t="n"/>
      <c r="K220" s="2" t="n"/>
      <c r="L220" s="2" t="n"/>
    </row>
    <row r="221">
      <c r="A221" s="42" t="n"/>
      <c r="B221" s="43" t="n"/>
      <c r="C221" s="5">
        <f>IF(B221="","",IFERROR(INDEX('Lista de materiales'!$C$5:$C$54,MATCH(B221,'Lista de materiales'!$A$5:$A$54,0)),"ID no existe"))</f>
        <v/>
      </c>
      <c r="D221" s="43" t="n"/>
      <c r="E221" s="43" t="n"/>
      <c r="F221" s="44" t="n"/>
      <c r="G221" s="43" t="n"/>
      <c r="H221" s="43" t="n"/>
      <c r="I221" s="43" t="n"/>
      <c r="J221" s="43" t="n"/>
      <c r="K221" s="2" t="n"/>
      <c r="L221" s="2" t="n"/>
    </row>
    <row r="222">
      <c r="A222" s="42" t="n"/>
      <c r="B222" s="43" t="n"/>
      <c r="C222" s="5">
        <f>IF(B222="","",IFERROR(INDEX('Lista de materiales'!$C$5:$C$54,MATCH(B222,'Lista de materiales'!$A$5:$A$54,0)),"ID no existe"))</f>
        <v/>
      </c>
      <c r="D222" s="43" t="n"/>
      <c r="E222" s="43" t="n"/>
      <c r="F222" s="44" t="n"/>
      <c r="G222" s="43" t="n"/>
      <c r="H222" s="43" t="n"/>
      <c r="I222" s="43" t="n"/>
      <c r="J222" s="43" t="n"/>
      <c r="K222" s="2" t="n"/>
      <c r="L222" s="2" t="n"/>
    </row>
    <row r="223">
      <c r="A223" s="42" t="n"/>
      <c r="B223" s="43" t="n"/>
      <c r="C223" s="5">
        <f>IF(B223="","",IFERROR(INDEX('Lista de materiales'!$C$5:$C$54,MATCH(B223,'Lista de materiales'!$A$5:$A$54,0)),"ID no existe"))</f>
        <v/>
      </c>
      <c r="D223" s="43" t="n"/>
      <c r="E223" s="43" t="n"/>
      <c r="F223" s="44" t="n"/>
      <c r="G223" s="43" t="n"/>
      <c r="H223" s="43" t="n"/>
      <c r="I223" s="43" t="n"/>
      <c r="J223" s="43" t="n"/>
      <c r="K223" s="2" t="n"/>
      <c r="L223" s="2" t="n"/>
    </row>
    <row r="224">
      <c r="A224" s="42" t="n"/>
      <c r="B224" s="43" t="n"/>
      <c r="C224" s="5">
        <f>IF(B224="","",IFERROR(INDEX('Lista de materiales'!$C$5:$C$54,MATCH(B224,'Lista de materiales'!$A$5:$A$54,0)),"ID no existe"))</f>
        <v/>
      </c>
      <c r="D224" s="43" t="n"/>
      <c r="E224" s="43" t="n"/>
      <c r="F224" s="44" t="n"/>
      <c r="G224" s="43" t="n"/>
      <c r="H224" s="43" t="n"/>
      <c r="I224" s="43" t="n"/>
      <c r="J224" s="43" t="n"/>
      <c r="K224" s="2" t="n"/>
      <c r="L224" s="2" t="n"/>
    </row>
    <row r="225">
      <c r="A225" s="42" t="n"/>
      <c r="B225" s="43" t="n"/>
      <c r="C225" s="5">
        <f>IF(B225="","",IFERROR(INDEX('Lista de materiales'!$C$5:$C$54,MATCH(B225,'Lista de materiales'!$A$5:$A$54,0)),"ID no existe"))</f>
        <v/>
      </c>
      <c r="D225" s="43" t="n"/>
      <c r="E225" s="43" t="n"/>
      <c r="F225" s="44" t="n"/>
      <c r="G225" s="43" t="n"/>
      <c r="H225" s="43" t="n"/>
      <c r="I225" s="43" t="n"/>
      <c r="J225" s="43" t="n"/>
      <c r="K225" s="2" t="n"/>
      <c r="L225" s="2" t="n"/>
    </row>
    <row r="226">
      <c r="A226" s="42" t="n"/>
      <c r="B226" s="43" t="n"/>
      <c r="C226" s="5">
        <f>IF(B226="","",IFERROR(INDEX('Lista de materiales'!$C$5:$C$54,MATCH(B226,'Lista de materiales'!$A$5:$A$54,0)),"ID no existe"))</f>
        <v/>
      </c>
      <c r="D226" s="43" t="n"/>
      <c r="E226" s="43" t="n"/>
      <c r="F226" s="44" t="n"/>
      <c r="G226" s="43" t="n"/>
      <c r="H226" s="43" t="n"/>
      <c r="I226" s="43" t="n"/>
      <c r="J226" s="43" t="n"/>
      <c r="K226" s="2" t="n"/>
      <c r="L226" s="2" t="n"/>
    </row>
    <row r="227">
      <c r="A227" s="42" t="n"/>
      <c r="B227" s="43" t="n"/>
      <c r="C227" s="5">
        <f>IF(B227="","",IFERROR(INDEX('Lista de materiales'!$C$5:$C$54,MATCH(B227,'Lista de materiales'!$A$5:$A$54,0)),"ID no existe"))</f>
        <v/>
      </c>
      <c r="D227" s="43" t="n"/>
      <c r="E227" s="43" t="n"/>
      <c r="F227" s="44" t="n"/>
      <c r="G227" s="43" t="n"/>
      <c r="H227" s="43" t="n"/>
      <c r="I227" s="43" t="n"/>
      <c r="J227" s="43" t="n"/>
      <c r="K227" s="2" t="n"/>
      <c r="L227" s="2" t="n"/>
    </row>
    <row r="228">
      <c r="A228" s="42" t="n"/>
      <c r="B228" s="43" t="n"/>
      <c r="C228" s="5">
        <f>IF(B228="","",IFERROR(INDEX('Lista de materiales'!$C$5:$C$54,MATCH(B228,'Lista de materiales'!$A$5:$A$54,0)),"ID no existe"))</f>
        <v/>
      </c>
      <c r="D228" s="43" t="n"/>
      <c r="E228" s="43" t="n"/>
      <c r="F228" s="44" t="n"/>
      <c r="G228" s="43" t="n"/>
      <c r="H228" s="43" t="n"/>
      <c r="I228" s="43" t="n"/>
      <c r="J228" s="43" t="n"/>
      <c r="K228" s="2" t="n"/>
      <c r="L228" s="2" t="n"/>
    </row>
    <row r="229">
      <c r="A229" s="42" t="n"/>
      <c r="B229" s="43" t="n"/>
      <c r="C229" s="5">
        <f>IF(B229="","",IFERROR(INDEX('Lista de materiales'!$C$5:$C$54,MATCH(B229,'Lista de materiales'!$A$5:$A$54,0)),"ID no existe"))</f>
        <v/>
      </c>
      <c r="D229" s="43" t="n"/>
      <c r="E229" s="43" t="n"/>
      <c r="F229" s="44" t="n"/>
      <c r="G229" s="43" t="n"/>
      <c r="H229" s="43" t="n"/>
      <c r="I229" s="43" t="n"/>
      <c r="J229" s="43" t="n"/>
      <c r="K229" s="2" t="n"/>
      <c r="L229" s="2" t="n"/>
    </row>
    <row r="230">
      <c r="A230" s="42" t="n"/>
      <c r="B230" s="43" t="n"/>
      <c r="C230" s="5">
        <f>IF(B230="","",IFERROR(INDEX('Lista de materiales'!$C$5:$C$54,MATCH(B230,'Lista de materiales'!$A$5:$A$54,0)),"ID no existe"))</f>
        <v/>
      </c>
      <c r="D230" s="43" t="n"/>
      <c r="E230" s="43" t="n"/>
      <c r="F230" s="44" t="n"/>
      <c r="G230" s="43" t="n"/>
      <c r="H230" s="43" t="n"/>
      <c r="I230" s="43" t="n"/>
      <c r="J230" s="43" t="n"/>
      <c r="K230" s="2" t="n"/>
      <c r="L230" s="2" t="n"/>
    </row>
    <row r="231">
      <c r="A231" s="42" t="n"/>
      <c r="B231" s="43" t="n"/>
      <c r="C231" s="5">
        <f>IF(B231="","",IFERROR(INDEX('Lista de materiales'!$C$5:$C$54,MATCH(B231,'Lista de materiales'!$A$5:$A$54,0)),"ID no existe"))</f>
        <v/>
      </c>
      <c r="D231" s="43" t="n"/>
      <c r="E231" s="43" t="n"/>
      <c r="F231" s="44" t="n"/>
      <c r="G231" s="43" t="n"/>
      <c r="H231" s="43" t="n"/>
      <c r="I231" s="43" t="n"/>
      <c r="J231" s="43" t="n"/>
      <c r="K231" s="2" t="n"/>
      <c r="L231" s="2" t="n"/>
    </row>
    <row r="232">
      <c r="A232" s="42" t="n"/>
      <c r="B232" s="43" t="n"/>
      <c r="C232" s="5">
        <f>IF(B232="","",IFERROR(INDEX('Lista de materiales'!$C$5:$C$54,MATCH(B232,'Lista de materiales'!$A$5:$A$54,0)),"ID no existe"))</f>
        <v/>
      </c>
      <c r="D232" s="43" t="n"/>
      <c r="E232" s="43" t="n"/>
      <c r="F232" s="44" t="n"/>
      <c r="G232" s="43" t="n"/>
      <c r="H232" s="43" t="n"/>
      <c r="I232" s="43" t="n"/>
      <c r="J232" s="43" t="n"/>
      <c r="K232" s="2" t="n"/>
      <c r="L232" s="2" t="n"/>
    </row>
    <row r="233">
      <c r="A233" s="42" t="n"/>
      <c r="B233" s="43" t="n"/>
      <c r="C233" s="5">
        <f>IF(B233="","",IFERROR(INDEX('Lista de materiales'!$C$5:$C$54,MATCH(B233,'Lista de materiales'!$A$5:$A$54,0)),"ID no existe"))</f>
        <v/>
      </c>
      <c r="D233" s="43" t="n"/>
      <c r="E233" s="43" t="n"/>
      <c r="F233" s="44" t="n"/>
      <c r="G233" s="43" t="n"/>
      <c r="H233" s="43" t="n"/>
      <c r="I233" s="43" t="n"/>
      <c r="J233" s="43" t="n"/>
      <c r="K233" s="2" t="n"/>
      <c r="L233" s="2" t="n"/>
    </row>
    <row r="234">
      <c r="A234" s="42" t="n"/>
      <c r="B234" s="43" t="n"/>
      <c r="C234" s="5">
        <f>IF(B234="","",IFERROR(INDEX('Lista de materiales'!$C$5:$C$54,MATCH(B234,'Lista de materiales'!$A$5:$A$54,0)),"ID no existe"))</f>
        <v/>
      </c>
      <c r="D234" s="43" t="n"/>
      <c r="E234" s="43" t="n"/>
      <c r="F234" s="44" t="n"/>
      <c r="G234" s="43" t="n"/>
      <c r="H234" s="43" t="n"/>
      <c r="I234" s="43" t="n"/>
      <c r="J234" s="43" t="n"/>
      <c r="K234" s="2" t="n"/>
      <c r="L234" s="2" t="n"/>
    </row>
    <row r="235">
      <c r="A235" s="42" t="n"/>
      <c r="B235" s="43" t="n"/>
      <c r="C235" s="5">
        <f>IF(B235="","",IFERROR(INDEX('Lista de materiales'!$C$5:$C$54,MATCH(B235,'Lista de materiales'!$A$5:$A$54,0)),"ID no existe"))</f>
        <v/>
      </c>
      <c r="D235" s="43" t="n"/>
      <c r="E235" s="43" t="n"/>
      <c r="F235" s="44" t="n"/>
      <c r="G235" s="43" t="n"/>
      <c r="H235" s="43" t="n"/>
      <c r="I235" s="43" t="n"/>
      <c r="J235" s="43" t="n"/>
      <c r="K235" s="2" t="n"/>
      <c r="L235" s="2" t="n"/>
    </row>
    <row r="236">
      <c r="A236" s="42" t="n"/>
      <c r="B236" s="43" t="n"/>
      <c r="C236" s="5">
        <f>IF(B236="","",IFERROR(INDEX('Lista de materiales'!$C$5:$C$54,MATCH(B236,'Lista de materiales'!$A$5:$A$54,0)),"ID no existe"))</f>
        <v/>
      </c>
      <c r="D236" s="43" t="n"/>
      <c r="E236" s="43" t="n"/>
      <c r="F236" s="44" t="n"/>
      <c r="G236" s="43" t="n"/>
      <c r="H236" s="43" t="n"/>
      <c r="I236" s="43" t="n"/>
      <c r="J236" s="43" t="n"/>
      <c r="K236" s="2" t="n"/>
      <c r="L236" s="2" t="n"/>
    </row>
    <row r="237">
      <c r="A237" s="42" t="n"/>
      <c r="B237" s="43" t="n"/>
      <c r="C237" s="5">
        <f>IF(B237="","",IFERROR(INDEX('Lista de materiales'!$C$5:$C$54,MATCH(B237,'Lista de materiales'!$A$5:$A$54,0)),"ID no existe"))</f>
        <v/>
      </c>
      <c r="D237" s="43" t="n"/>
      <c r="E237" s="43" t="n"/>
      <c r="F237" s="44" t="n"/>
      <c r="G237" s="43" t="n"/>
      <c r="H237" s="43" t="n"/>
      <c r="I237" s="43" t="n"/>
      <c r="J237" s="43" t="n"/>
      <c r="K237" s="2" t="n"/>
      <c r="L237" s="2" t="n"/>
    </row>
    <row r="238">
      <c r="A238" s="42" t="n"/>
      <c r="B238" s="43" t="n"/>
      <c r="C238" s="5">
        <f>IF(B238="","",IFERROR(INDEX('Lista de materiales'!$C$5:$C$54,MATCH(B238,'Lista de materiales'!$A$5:$A$54,0)),"ID no existe"))</f>
        <v/>
      </c>
      <c r="D238" s="43" t="n"/>
      <c r="E238" s="43" t="n"/>
      <c r="F238" s="44" t="n"/>
      <c r="G238" s="43" t="n"/>
      <c r="H238" s="43" t="n"/>
      <c r="I238" s="43" t="n"/>
      <c r="J238" s="43" t="n"/>
      <c r="K238" s="2" t="n"/>
      <c r="L238" s="2" t="n"/>
    </row>
    <row r="239">
      <c r="A239" s="42" t="n"/>
      <c r="B239" s="43" t="n"/>
      <c r="C239" s="5">
        <f>IF(B239="","",IFERROR(INDEX('Lista de materiales'!$C$5:$C$54,MATCH(B239,'Lista de materiales'!$A$5:$A$54,0)),"ID no existe"))</f>
        <v/>
      </c>
      <c r="D239" s="43" t="n"/>
      <c r="E239" s="43" t="n"/>
      <c r="F239" s="44" t="n"/>
      <c r="G239" s="43" t="n"/>
      <c r="H239" s="43" t="n"/>
      <c r="I239" s="43" t="n"/>
      <c r="J239" s="43" t="n"/>
      <c r="K239" s="2" t="n"/>
      <c r="L239" s="2" t="n"/>
    </row>
    <row r="240">
      <c r="A240" s="42" t="n"/>
      <c r="B240" s="43" t="n"/>
      <c r="C240" s="5">
        <f>IF(B240="","",IFERROR(INDEX('Lista de materiales'!$C$5:$C$54,MATCH(B240,'Lista de materiales'!$A$5:$A$54,0)),"ID no existe"))</f>
        <v/>
      </c>
      <c r="D240" s="43" t="n"/>
      <c r="E240" s="43" t="n"/>
      <c r="F240" s="44" t="n"/>
      <c r="G240" s="43" t="n"/>
      <c r="H240" s="43" t="n"/>
      <c r="I240" s="43" t="n"/>
      <c r="J240" s="43" t="n"/>
      <c r="K240" s="2" t="n"/>
      <c r="L240" s="2" t="n"/>
    </row>
    <row r="241">
      <c r="A241" s="42" t="n"/>
      <c r="B241" s="43" t="n"/>
      <c r="C241" s="5">
        <f>IF(B241="","",IFERROR(INDEX('Lista de materiales'!$C$5:$C$54,MATCH(B241,'Lista de materiales'!$A$5:$A$54,0)),"ID no existe"))</f>
        <v/>
      </c>
      <c r="D241" s="43" t="n"/>
      <c r="E241" s="43" t="n"/>
      <c r="F241" s="44" t="n"/>
      <c r="G241" s="43" t="n"/>
      <c r="H241" s="43" t="n"/>
      <c r="I241" s="43" t="n"/>
      <c r="J241" s="43" t="n"/>
      <c r="K241" s="2" t="n"/>
      <c r="L241" s="2" t="n"/>
    </row>
    <row r="242">
      <c r="A242" s="42" t="n"/>
      <c r="B242" s="43" t="n"/>
      <c r="C242" s="5">
        <f>IF(B242="","",IFERROR(INDEX('Lista de materiales'!$C$5:$C$54,MATCH(B242,'Lista de materiales'!$A$5:$A$54,0)),"ID no existe"))</f>
        <v/>
      </c>
      <c r="D242" s="43" t="n"/>
      <c r="E242" s="43" t="n"/>
      <c r="F242" s="44" t="n"/>
      <c r="G242" s="43" t="n"/>
      <c r="H242" s="43" t="n"/>
      <c r="I242" s="43" t="n"/>
      <c r="J242" s="43" t="n"/>
      <c r="K242" s="2" t="n"/>
      <c r="L242" s="2" t="n"/>
    </row>
    <row r="243">
      <c r="A243" s="42" t="n"/>
      <c r="B243" s="43" t="n"/>
      <c r="C243" s="5">
        <f>IF(B243="","",IFERROR(INDEX('Lista de materiales'!$C$5:$C$54,MATCH(B243,'Lista de materiales'!$A$5:$A$54,0)),"ID no existe"))</f>
        <v/>
      </c>
      <c r="D243" s="43" t="n"/>
      <c r="E243" s="43" t="n"/>
      <c r="F243" s="44" t="n"/>
      <c r="G243" s="43" t="n"/>
      <c r="H243" s="43" t="n"/>
      <c r="I243" s="43" t="n"/>
      <c r="J243" s="43" t="n"/>
      <c r="K243" s="2" t="n"/>
      <c r="L243" s="2" t="n"/>
    </row>
    <row r="244">
      <c r="A244" s="42" t="n"/>
      <c r="B244" s="43" t="n"/>
      <c r="C244" s="5">
        <f>IF(B244="","",IFERROR(INDEX('Lista de materiales'!$C$5:$C$54,MATCH(B244,'Lista de materiales'!$A$5:$A$54,0)),"ID no existe"))</f>
        <v/>
      </c>
      <c r="D244" s="43" t="n"/>
      <c r="E244" s="43" t="n"/>
      <c r="F244" s="44" t="n"/>
      <c r="G244" s="43" t="n"/>
      <c r="H244" s="43" t="n"/>
      <c r="I244" s="43" t="n"/>
      <c r="J244" s="43" t="n"/>
      <c r="K244" s="2" t="n"/>
      <c r="L244" s="2" t="n"/>
    </row>
    <row r="245">
      <c r="A245" s="42" t="n"/>
      <c r="B245" s="43" t="n"/>
      <c r="C245" s="5">
        <f>IF(B245="","",IFERROR(INDEX('Lista de materiales'!$C$5:$C$54,MATCH(B245,'Lista de materiales'!$A$5:$A$54,0)),"ID no existe"))</f>
        <v/>
      </c>
      <c r="D245" s="43" t="n"/>
      <c r="E245" s="43" t="n"/>
      <c r="F245" s="44" t="n"/>
      <c r="G245" s="43" t="n"/>
      <c r="H245" s="43" t="n"/>
      <c r="I245" s="43" t="n"/>
      <c r="J245" s="43" t="n"/>
      <c r="K245" s="2" t="n"/>
      <c r="L245" s="2" t="n"/>
    </row>
    <row r="246">
      <c r="A246" s="42" t="n"/>
      <c r="B246" s="43" t="n"/>
      <c r="C246" s="5">
        <f>IF(B246="","",IFERROR(INDEX('Lista de materiales'!$C$5:$C$54,MATCH(B246,'Lista de materiales'!$A$5:$A$54,0)),"ID no existe"))</f>
        <v/>
      </c>
      <c r="D246" s="43" t="n"/>
      <c r="E246" s="43" t="n"/>
      <c r="F246" s="44" t="n"/>
      <c r="G246" s="43" t="n"/>
      <c r="H246" s="43" t="n"/>
      <c r="I246" s="43" t="n"/>
      <c r="J246" s="43" t="n"/>
      <c r="K246" s="2" t="n"/>
      <c r="L246" s="2" t="n"/>
    </row>
    <row r="247">
      <c r="A247" s="42" t="n"/>
      <c r="B247" s="43" t="n"/>
      <c r="C247" s="5">
        <f>IF(B247="","",IFERROR(INDEX('Lista de materiales'!$C$5:$C$54,MATCH(B247,'Lista de materiales'!$A$5:$A$54,0)),"ID no existe"))</f>
        <v/>
      </c>
      <c r="D247" s="43" t="n"/>
      <c r="E247" s="43" t="n"/>
      <c r="F247" s="44" t="n"/>
      <c r="G247" s="43" t="n"/>
      <c r="H247" s="43" t="n"/>
      <c r="I247" s="43" t="n"/>
      <c r="J247" s="43" t="n"/>
      <c r="K247" s="2" t="n"/>
      <c r="L247" s="2" t="n"/>
    </row>
    <row r="248">
      <c r="A248" s="42" t="n"/>
      <c r="B248" s="43" t="n"/>
      <c r="C248" s="5">
        <f>IF(B248="","",IFERROR(INDEX('Lista de materiales'!$C$5:$C$54,MATCH(B248,'Lista de materiales'!$A$5:$A$54,0)),"ID no existe"))</f>
        <v/>
      </c>
      <c r="D248" s="43" t="n"/>
      <c r="E248" s="43" t="n"/>
      <c r="F248" s="44" t="n"/>
      <c r="G248" s="43" t="n"/>
      <c r="H248" s="43" t="n"/>
      <c r="I248" s="43" t="n"/>
      <c r="J248" s="43" t="n"/>
      <c r="K248" s="2" t="n"/>
      <c r="L248" s="2" t="n"/>
    </row>
    <row r="249">
      <c r="A249" s="42" t="n"/>
      <c r="B249" s="43" t="n"/>
      <c r="C249" s="5">
        <f>IF(B249="","",IFERROR(INDEX('Lista de materiales'!$C$5:$C$54,MATCH(B249,'Lista de materiales'!$A$5:$A$54,0)),"ID no existe"))</f>
        <v/>
      </c>
      <c r="D249" s="43" t="n"/>
      <c r="E249" s="43" t="n"/>
      <c r="F249" s="44" t="n"/>
      <c r="G249" s="43" t="n"/>
      <c r="H249" s="43" t="n"/>
      <c r="I249" s="43" t="n"/>
      <c r="J249" s="43" t="n"/>
      <c r="K249" s="2" t="n"/>
      <c r="L249" s="2" t="n"/>
    </row>
    <row r="250">
      <c r="A250" s="42" t="n"/>
      <c r="B250" s="43" t="n"/>
      <c r="C250" s="5">
        <f>IF(B250="","",IFERROR(INDEX('Lista de materiales'!$C$5:$C$54,MATCH(B250,'Lista de materiales'!$A$5:$A$54,0)),"ID no existe"))</f>
        <v/>
      </c>
      <c r="D250" s="43" t="n"/>
      <c r="E250" s="43" t="n"/>
      <c r="F250" s="44" t="n"/>
      <c r="G250" s="43" t="n"/>
      <c r="H250" s="43" t="n"/>
      <c r="I250" s="43" t="n"/>
      <c r="J250" s="43" t="n"/>
      <c r="K250" s="2" t="n"/>
      <c r="L250" s="2" t="n"/>
    </row>
    <row r="251">
      <c r="A251" s="42" t="n"/>
      <c r="B251" s="43" t="n"/>
      <c r="C251" s="5">
        <f>IF(B251="","",IFERROR(INDEX('Lista de materiales'!$C$5:$C$54,MATCH(B251,'Lista de materiales'!$A$5:$A$54,0)),"ID no existe"))</f>
        <v/>
      </c>
      <c r="D251" s="43" t="n"/>
      <c r="E251" s="43" t="n"/>
      <c r="F251" s="44" t="n"/>
      <c r="G251" s="43" t="n"/>
      <c r="H251" s="43" t="n"/>
      <c r="I251" s="43" t="n"/>
      <c r="J251" s="43" t="n"/>
      <c r="K251" s="2" t="n"/>
      <c r="L251" s="2" t="n"/>
    </row>
    <row r="252">
      <c r="A252" s="42" t="n"/>
      <c r="B252" s="43" t="n"/>
      <c r="C252" s="5">
        <f>IF(B252="","",IFERROR(INDEX('Lista de materiales'!$C$5:$C$54,MATCH(B252,'Lista de materiales'!$A$5:$A$54,0)),"ID no existe"))</f>
        <v/>
      </c>
      <c r="D252" s="43" t="n"/>
      <c r="E252" s="43" t="n"/>
      <c r="F252" s="44" t="n"/>
      <c r="G252" s="43" t="n"/>
      <c r="H252" s="43" t="n"/>
      <c r="I252" s="43" t="n"/>
      <c r="J252" s="43" t="n"/>
      <c r="K252" s="2" t="n"/>
      <c r="L252" s="2" t="n"/>
    </row>
    <row r="253">
      <c r="A253" s="42" t="n"/>
      <c r="B253" s="43" t="n"/>
      <c r="C253" s="5">
        <f>IF(B253="","",IFERROR(INDEX('Lista de materiales'!$C$5:$C$54,MATCH(B253,'Lista de materiales'!$A$5:$A$54,0)),"ID no existe"))</f>
        <v/>
      </c>
      <c r="D253" s="43" t="n"/>
      <c r="E253" s="43" t="n"/>
      <c r="F253" s="44" t="n"/>
      <c r="G253" s="43" t="n"/>
      <c r="H253" s="43" t="n"/>
      <c r="I253" s="43" t="n"/>
      <c r="J253" s="43" t="n"/>
      <c r="K253" s="2" t="n"/>
      <c r="L253" s="2" t="n"/>
    </row>
    <row r="254">
      <c r="A254" s="42" t="n"/>
      <c r="B254" s="43" t="n"/>
      <c r="C254" s="5">
        <f>IF(B254="","",IFERROR(INDEX('Lista de materiales'!$C$5:$C$54,MATCH(B254,'Lista de materiales'!$A$5:$A$54,0)),"ID no existe"))</f>
        <v/>
      </c>
      <c r="D254" s="43" t="n"/>
      <c r="E254" s="43" t="n"/>
      <c r="F254" s="44" t="n"/>
      <c r="G254" s="43" t="n"/>
      <c r="H254" s="43" t="n"/>
      <c r="I254" s="43" t="n"/>
      <c r="J254" s="43" t="n"/>
      <c r="K254" s="2" t="n"/>
      <c r="L254" s="2" t="n"/>
    </row>
    <row r="255">
      <c r="A255" s="42" t="n"/>
      <c r="B255" s="43" t="n"/>
      <c r="C255" s="5">
        <f>IF(B255="","",IFERROR(INDEX('Lista de materiales'!$C$5:$C$54,MATCH(B255,'Lista de materiales'!$A$5:$A$54,0)),"ID no existe"))</f>
        <v/>
      </c>
      <c r="D255" s="43" t="n"/>
      <c r="E255" s="43" t="n"/>
      <c r="F255" s="44" t="n"/>
      <c r="G255" s="43" t="n"/>
      <c r="H255" s="43" t="n"/>
      <c r="I255" s="43" t="n"/>
      <c r="J255" s="43" t="n"/>
      <c r="K255" s="2" t="n"/>
      <c r="L255" s="2" t="n"/>
    </row>
    <row r="256">
      <c r="A256" s="42" t="n"/>
      <c r="B256" s="43" t="n"/>
      <c r="C256" s="5">
        <f>IF(B256="","",IFERROR(INDEX('Lista de materiales'!$C$5:$C$54,MATCH(B256,'Lista de materiales'!$A$5:$A$54,0)),"ID no existe"))</f>
        <v/>
      </c>
      <c r="D256" s="43" t="n"/>
      <c r="E256" s="43" t="n"/>
      <c r="F256" s="44" t="n"/>
      <c r="G256" s="43" t="n"/>
      <c r="H256" s="43" t="n"/>
      <c r="I256" s="43" t="n"/>
      <c r="J256" s="43" t="n"/>
      <c r="K256" s="2" t="n"/>
      <c r="L256" s="2" t="n"/>
    </row>
    <row r="257">
      <c r="A257" s="42" t="n"/>
      <c r="B257" s="43" t="n"/>
      <c r="C257" s="5">
        <f>IF(B257="","",IFERROR(INDEX('Lista de materiales'!$C$5:$C$54,MATCH(B257,'Lista de materiales'!$A$5:$A$54,0)),"ID no existe"))</f>
        <v/>
      </c>
      <c r="D257" s="43" t="n"/>
      <c r="E257" s="43" t="n"/>
      <c r="F257" s="44" t="n"/>
      <c r="G257" s="43" t="n"/>
      <c r="H257" s="43" t="n"/>
      <c r="I257" s="43" t="n"/>
      <c r="J257" s="43" t="n"/>
      <c r="K257" s="2" t="n"/>
      <c r="L257" s="2" t="n"/>
    </row>
    <row r="258">
      <c r="A258" s="42" t="n"/>
      <c r="B258" s="43" t="n"/>
      <c r="C258" s="5">
        <f>IF(B258="","",IFERROR(INDEX('Lista de materiales'!$C$5:$C$54,MATCH(B258,'Lista de materiales'!$A$5:$A$54,0)),"ID no existe"))</f>
        <v/>
      </c>
      <c r="D258" s="43" t="n"/>
      <c r="E258" s="43" t="n"/>
      <c r="F258" s="44" t="n"/>
      <c r="G258" s="43" t="n"/>
      <c r="H258" s="43" t="n"/>
      <c r="I258" s="43" t="n"/>
      <c r="J258" s="43" t="n"/>
      <c r="K258" s="2" t="n"/>
      <c r="L258" s="2" t="n"/>
    </row>
    <row r="259">
      <c r="A259" s="42" t="n"/>
      <c r="B259" s="43" t="n"/>
      <c r="C259" s="5">
        <f>IF(B259="","",IFERROR(INDEX('Lista de materiales'!$C$5:$C$54,MATCH(B259,'Lista de materiales'!$A$5:$A$54,0)),"ID no existe"))</f>
        <v/>
      </c>
      <c r="D259" s="43" t="n"/>
      <c r="E259" s="43" t="n"/>
      <c r="F259" s="44" t="n"/>
      <c r="G259" s="43" t="n"/>
      <c r="H259" s="43" t="n"/>
      <c r="I259" s="43" t="n"/>
      <c r="J259" s="43" t="n"/>
      <c r="K259" s="2" t="n"/>
      <c r="L259" s="2" t="n"/>
    </row>
    <row r="260">
      <c r="A260" s="42" t="n"/>
      <c r="B260" s="43" t="n"/>
      <c r="C260" s="5">
        <f>IF(B260="","",IFERROR(INDEX('Lista de materiales'!$C$5:$C$54,MATCH(B260,'Lista de materiales'!$A$5:$A$54,0)),"ID no existe"))</f>
        <v/>
      </c>
      <c r="D260" s="43" t="n"/>
      <c r="E260" s="43" t="n"/>
      <c r="F260" s="44" t="n"/>
      <c r="G260" s="43" t="n"/>
      <c r="H260" s="43" t="n"/>
      <c r="I260" s="43" t="n"/>
      <c r="J260" s="43" t="n"/>
      <c r="K260" s="2" t="n"/>
      <c r="L260" s="2" t="n"/>
    </row>
    <row r="261">
      <c r="A261" s="42" t="n"/>
      <c r="B261" s="43" t="n"/>
      <c r="C261" s="5">
        <f>IF(B261="","",IFERROR(INDEX('Lista de materiales'!$C$5:$C$54,MATCH(B261,'Lista de materiales'!$A$5:$A$54,0)),"ID no existe"))</f>
        <v/>
      </c>
      <c r="D261" s="43" t="n"/>
      <c r="E261" s="43" t="n"/>
      <c r="F261" s="44" t="n"/>
      <c r="G261" s="43" t="n"/>
      <c r="H261" s="43" t="n"/>
      <c r="I261" s="43" t="n"/>
      <c r="J261" s="43" t="n"/>
      <c r="K261" s="2" t="n"/>
      <c r="L261" s="2" t="n"/>
    </row>
    <row r="262">
      <c r="A262" s="42" t="n"/>
      <c r="B262" s="43" t="n"/>
      <c r="C262" s="5">
        <f>IF(B262="","",IFERROR(INDEX('Lista de materiales'!$C$5:$C$54,MATCH(B262,'Lista de materiales'!$A$5:$A$54,0)),"ID no existe"))</f>
        <v/>
      </c>
      <c r="D262" s="43" t="n"/>
      <c r="E262" s="43" t="n"/>
      <c r="F262" s="44" t="n"/>
      <c r="G262" s="43" t="n"/>
      <c r="H262" s="43" t="n"/>
      <c r="I262" s="43" t="n"/>
      <c r="J262" s="43" t="n"/>
      <c r="K262" s="2" t="n"/>
      <c r="L262" s="2" t="n"/>
    </row>
    <row r="263">
      <c r="A263" s="42" t="n"/>
      <c r="B263" s="43" t="n"/>
      <c r="C263" s="5">
        <f>IF(B263="","",IFERROR(INDEX('Lista de materiales'!$C$5:$C$54,MATCH(B263,'Lista de materiales'!$A$5:$A$54,0)),"ID no existe"))</f>
        <v/>
      </c>
      <c r="D263" s="43" t="n"/>
      <c r="E263" s="43" t="n"/>
      <c r="F263" s="44" t="n"/>
      <c r="G263" s="43" t="n"/>
      <c r="H263" s="43" t="n"/>
      <c r="I263" s="43" t="n"/>
      <c r="J263" s="43" t="n"/>
      <c r="K263" s="2" t="n"/>
      <c r="L263" s="2" t="n"/>
    </row>
    <row r="264">
      <c r="A264" s="42" t="n"/>
      <c r="B264" s="43" t="n"/>
      <c r="C264" s="5">
        <f>IF(B264="","",IFERROR(INDEX('Lista de materiales'!$C$5:$C$54,MATCH(B264,'Lista de materiales'!$A$5:$A$54,0)),"ID no existe"))</f>
        <v/>
      </c>
      <c r="D264" s="43" t="n"/>
      <c r="E264" s="43" t="n"/>
      <c r="F264" s="44" t="n"/>
      <c r="G264" s="43" t="n"/>
      <c r="H264" s="43" t="n"/>
      <c r="I264" s="43" t="n"/>
      <c r="J264" s="43" t="n"/>
      <c r="K264" s="2" t="n"/>
      <c r="L264" s="2" t="n"/>
    </row>
    <row r="265">
      <c r="A265" s="42" t="n"/>
      <c r="B265" s="43" t="n"/>
      <c r="C265" s="5">
        <f>IF(B265="","",IFERROR(INDEX('Lista de materiales'!$C$5:$C$54,MATCH(B265,'Lista de materiales'!$A$5:$A$54,0)),"ID no existe"))</f>
        <v/>
      </c>
      <c r="D265" s="43" t="n"/>
      <c r="E265" s="43" t="n"/>
      <c r="F265" s="44" t="n"/>
      <c r="G265" s="43" t="n"/>
      <c r="H265" s="43" t="n"/>
      <c r="I265" s="43" t="n"/>
      <c r="J265" s="43" t="n"/>
      <c r="K265" s="2" t="n"/>
      <c r="L265" s="2" t="n"/>
    </row>
    <row r="266">
      <c r="A266" s="42" t="n"/>
      <c r="B266" s="43" t="n"/>
      <c r="C266" s="5">
        <f>IF(B266="","",IFERROR(INDEX('Lista de materiales'!$C$5:$C$54,MATCH(B266,'Lista de materiales'!$A$5:$A$54,0)),"ID no existe"))</f>
        <v/>
      </c>
      <c r="D266" s="43" t="n"/>
      <c r="E266" s="43" t="n"/>
      <c r="F266" s="44" t="n"/>
      <c r="G266" s="43" t="n"/>
      <c r="H266" s="43" t="n"/>
      <c r="I266" s="43" t="n"/>
      <c r="J266" s="43" t="n"/>
      <c r="K266" s="2" t="n"/>
      <c r="L266" s="2" t="n"/>
    </row>
    <row r="267">
      <c r="A267" s="42" t="n"/>
      <c r="B267" s="43" t="n"/>
      <c r="C267" s="5">
        <f>IF(B267="","",IFERROR(INDEX('Lista de materiales'!$C$5:$C$54,MATCH(B267,'Lista de materiales'!$A$5:$A$54,0)),"ID no existe"))</f>
        <v/>
      </c>
      <c r="D267" s="43" t="n"/>
      <c r="E267" s="43" t="n"/>
      <c r="F267" s="44" t="n"/>
      <c r="G267" s="43" t="n"/>
      <c r="H267" s="43" t="n"/>
      <c r="I267" s="43" t="n"/>
      <c r="J267" s="43" t="n"/>
      <c r="K267" s="2" t="n"/>
      <c r="L267" s="2" t="n"/>
    </row>
    <row r="268">
      <c r="A268" s="42" t="n"/>
      <c r="B268" s="43" t="n"/>
      <c r="C268" s="5">
        <f>IF(B268="","",IFERROR(INDEX('Lista de materiales'!$C$5:$C$54,MATCH(B268,'Lista de materiales'!$A$5:$A$54,0)),"ID no existe"))</f>
        <v/>
      </c>
      <c r="D268" s="43" t="n"/>
      <c r="E268" s="43" t="n"/>
      <c r="F268" s="44" t="n"/>
      <c r="G268" s="43" t="n"/>
      <c r="H268" s="43" t="n"/>
      <c r="I268" s="43" t="n"/>
      <c r="J268" s="43" t="n"/>
      <c r="K268" s="2" t="n"/>
      <c r="L268" s="2" t="n"/>
    </row>
    <row r="269">
      <c r="A269" s="42" t="n"/>
      <c r="B269" s="43" t="n"/>
      <c r="C269" s="5">
        <f>IF(B269="","",IFERROR(INDEX('Lista de materiales'!$C$5:$C$54,MATCH(B269,'Lista de materiales'!$A$5:$A$54,0)),"ID no existe"))</f>
        <v/>
      </c>
      <c r="D269" s="43" t="n"/>
      <c r="E269" s="43" t="n"/>
      <c r="F269" s="44" t="n"/>
      <c r="G269" s="43" t="n"/>
      <c r="H269" s="43" t="n"/>
      <c r="I269" s="43" t="n"/>
      <c r="J269" s="43" t="n"/>
      <c r="K269" s="2" t="n"/>
      <c r="L269" s="2" t="n"/>
    </row>
    <row r="270">
      <c r="A270" s="42" t="n"/>
      <c r="B270" s="43" t="n"/>
      <c r="C270" s="5">
        <f>IF(B270="","",IFERROR(INDEX('Lista de materiales'!$C$5:$C$54,MATCH(B270,'Lista de materiales'!$A$5:$A$54,0)),"ID no existe"))</f>
        <v/>
      </c>
      <c r="D270" s="43" t="n"/>
      <c r="E270" s="43" t="n"/>
      <c r="F270" s="44" t="n"/>
      <c r="G270" s="43" t="n"/>
      <c r="H270" s="43" t="n"/>
      <c r="I270" s="43" t="n"/>
      <c r="J270" s="43" t="n"/>
      <c r="K270" s="2" t="n"/>
      <c r="L270" s="2" t="n"/>
    </row>
    <row r="271">
      <c r="A271" s="42" t="n"/>
      <c r="B271" s="43" t="n"/>
      <c r="C271" s="5">
        <f>IF(B271="","",IFERROR(INDEX('Lista de materiales'!$C$5:$C$54,MATCH(B271,'Lista de materiales'!$A$5:$A$54,0)),"ID no existe"))</f>
        <v/>
      </c>
      <c r="D271" s="43" t="n"/>
      <c r="E271" s="43" t="n"/>
      <c r="F271" s="44" t="n"/>
      <c r="G271" s="43" t="n"/>
      <c r="H271" s="43" t="n"/>
      <c r="I271" s="43" t="n"/>
      <c r="J271" s="43" t="n"/>
      <c r="K271" s="2" t="n"/>
      <c r="L271" s="2" t="n"/>
    </row>
    <row r="272">
      <c r="A272" s="42" t="n"/>
      <c r="B272" s="43" t="n"/>
      <c r="C272" s="5">
        <f>IF(B272="","",IFERROR(INDEX('Lista de materiales'!$C$5:$C$54,MATCH(B272,'Lista de materiales'!$A$5:$A$54,0)),"ID no existe"))</f>
        <v/>
      </c>
      <c r="D272" s="43" t="n"/>
      <c r="E272" s="43" t="n"/>
      <c r="F272" s="44" t="n"/>
      <c r="G272" s="43" t="n"/>
      <c r="H272" s="43" t="n"/>
      <c r="I272" s="43" t="n"/>
      <c r="J272" s="43" t="n"/>
      <c r="K272" s="2" t="n"/>
      <c r="L272" s="2" t="n"/>
    </row>
    <row r="273">
      <c r="A273" s="42" t="n"/>
      <c r="B273" s="43" t="n"/>
      <c r="C273" s="5">
        <f>IF(B273="","",IFERROR(INDEX('Lista de materiales'!$C$5:$C$54,MATCH(B273,'Lista de materiales'!$A$5:$A$54,0)),"ID no existe"))</f>
        <v/>
      </c>
      <c r="D273" s="43" t="n"/>
      <c r="E273" s="43" t="n"/>
      <c r="F273" s="44" t="n"/>
      <c r="G273" s="43" t="n"/>
      <c r="H273" s="43" t="n"/>
      <c r="I273" s="43" t="n"/>
      <c r="J273" s="43" t="n"/>
      <c r="K273" s="2" t="n"/>
      <c r="L273" s="2" t="n"/>
    </row>
    <row r="274">
      <c r="A274" s="42" t="n"/>
      <c r="B274" s="43" t="n"/>
      <c r="C274" s="5">
        <f>IF(B274="","",IFERROR(INDEX('Lista de materiales'!$C$5:$C$54,MATCH(B274,'Lista de materiales'!$A$5:$A$54,0)),"ID no existe"))</f>
        <v/>
      </c>
      <c r="D274" s="43" t="n"/>
      <c r="E274" s="43" t="n"/>
      <c r="F274" s="44" t="n"/>
      <c r="G274" s="43" t="n"/>
      <c r="H274" s="43" t="n"/>
      <c r="I274" s="43" t="n"/>
      <c r="J274" s="43" t="n"/>
      <c r="K274" s="2" t="n"/>
      <c r="L274" s="2" t="n"/>
    </row>
    <row r="275">
      <c r="A275" s="42" t="n"/>
      <c r="B275" s="43" t="n"/>
      <c r="C275" s="5">
        <f>IF(B275="","",IFERROR(INDEX('Lista de materiales'!$C$5:$C$54,MATCH(B275,'Lista de materiales'!$A$5:$A$54,0)),"ID no existe"))</f>
        <v/>
      </c>
      <c r="D275" s="43" t="n"/>
      <c r="E275" s="43" t="n"/>
      <c r="F275" s="44" t="n"/>
      <c r="G275" s="43" t="n"/>
      <c r="H275" s="43" t="n"/>
      <c r="I275" s="43" t="n"/>
      <c r="J275" s="43" t="n"/>
      <c r="K275" s="2" t="n"/>
      <c r="L275" s="2" t="n"/>
    </row>
    <row r="276">
      <c r="A276" s="42" t="n"/>
      <c r="B276" s="43" t="n"/>
      <c r="C276" s="5">
        <f>IF(B276="","",IFERROR(INDEX('Lista de materiales'!$C$5:$C$54,MATCH(B276,'Lista de materiales'!$A$5:$A$54,0)),"ID no existe"))</f>
        <v/>
      </c>
      <c r="D276" s="43" t="n"/>
      <c r="E276" s="43" t="n"/>
      <c r="F276" s="44" t="n"/>
      <c r="G276" s="43" t="n"/>
      <c r="H276" s="43" t="n"/>
      <c r="I276" s="43" t="n"/>
      <c r="J276" s="43" t="n"/>
      <c r="K276" s="2" t="n"/>
      <c r="L276" s="2" t="n"/>
    </row>
    <row r="277">
      <c r="A277" s="42" t="n"/>
      <c r="B277" s="43" t="n"/>
      <c r="C277" s="5">
        <f>IF(B277="","",IFERROR(INDEX('Lista de materiales'!$C$5:$C$54,MATCH(B277,'Lista de materiales'!$A$5:$A$54,0)),"ID no existe"))</f>
        <v/>
      </c>
      <c r="D277" s="43" t="n"/>
      <c r="E277" s="43" t="n"/>
      <c r="F277" s="44" t="n"/>
      <c r="G277" s="43" t="n"/>
      <c r="H277" s="43" t="n"/>
      <c r="I277" s="43" t="n"/>
      <c r="J277" s="43" t="n"/>
      <c r="K277" s="2" t="n"/>
      <c r="L277" s="2" t="n"/>
    </row>
    <row r="278">
      <c r="A278" s="42" t="n"/>
      <c r="B278" s="43" t="n"/>
      <c r="C278" s="5">
        <f>IF(B278="","",IFERROR(INDEX('Lista de materiales'!$C$5:$C$54,MATCH(B278,'Lista de materiales'!$A$5:$A$54,0)),"ID no existe"))</f>
        <v/>
      </c>
      <c r="D278" s="43" t="n"/>
      <c r="E278" s="43" t="n"/>
      <c r="F278" s="44" t="n"/>
      <c r="G278" s="43" t="n"/>
      <c r="H278" s="43" t="n"/>
      <c r="I278" s="43" t="n"/>
      <c r="J278" s="43" t="n"/>
      <c r="K278" s="2" t="n"/>
      <c r="L278" s="2" t="n"/>
    </row>
    <row r="279">
      <c r="A279" s="42" t="n"/>
      <c r="B279" s="43" t="n"/>
      <c r="C279" s="5">
        <f>IF(B279="","",IFERROR(INDEX('Lista de materiales'!$C$5:$C$54,MATCH(B279,'Lista de materiales'!$A$5:$A$54,0)),"ID no existe"))</f>
        <v/>
      </c>
      <c r="D279" s="43" t="n"/>
      <c r="E279" s="43" t="n"/>
      <c r="F279" s="44" t="n"/>
      <c r="G279" s="43" t="n"/>
      <c r="H279" s="43" t="n"/>
      <c r="I279" s="43" t="n"/>
      <c r="J279" s="43" t="n"/>
      <c r="K279" s="2" t="n"/>
      <c r="L279" s="2" t="n"/>
    </row>
    <row r="280">
      <c r="A280" s="42" t="n"/>
      <c r="B280" s="43" t="n"/>
      <c r="C280" s="5">
        <f>IF(B280="","",IFERROR(INDEX('Lista de materiales'!$C$5:$C$54,MATCH(B280,'Lista de materiales'!$A$5:$A$54,0)),"ID no existe"))</f>
        <v/>
      </c>
      <c r="D280" s="43" t="n"/>
      <c r="E280" s="43" t="n"/>
      <c r="F280" s="44" t="n"/>
      <c r="G280" s="43" t="n"/>
      <c r="H280" s="43" t="n"/>
      <c r="I280" s="43" t="n"/>
      <c r="J280" s="43" t="n"/>
      <c r="K280" s="2" t="n"/>
      <c r="L280" s="2" t="n"/>
    </row>
    <row r="281">
      <c r="A281" s="42" t="n"/>
      <c r="B281" s="43" t="n"/>
      <c r="C281" s="5">
        <f>IF(B281="","",IFERROR(INDEX('Lista de materiales'!$C$5:$C$54,MATCH(B281,'Lista de materiales'!$A$5:$A$54,0)),"ID no existe"))</f>
        <v/>
      </c>
      <c r="D281" s="43" t="n"/>
      <c r="E281" s="43" t="n"/>
      <c r="F281" s="44" t="n"/>
      <c r="G281" s="43" t="n"/>
      <c r="H281" s="43" t="n"/>
      <c r="I281" s="43" t="n"/>
      <c r="J281" s="43" t="n"/>
      <c r="K281" s="2" t="n"/>
      <c r="L281" s="2" t="n"/>
    </row>
    <row r="282">
      <c r="A282" s="42" t="n"/>
      <c r="B282" s="43" t="n"/>
      <c r="C282" s="5">
        <f>IF(B282="","",IFERROR(INDEX('Lista de materiales'!$C$5:$C$54,MATCH(B282,'Lista de materiales'!$A$5:$A$54,0)),"ID no existe"))</f>
        <v/>
      </c>
      <c r="D282" s="43" t="n"/>
      <c r="E282" s="43" t="n"/>
      <c r="F282" s="44" t="n"/>
      <c r="G282" s="43" t="n"/>
      <c r="H282" s="43" t="n"/>
      <c r="I282" s="43" t="n"/>
      <c r="J282" s="43" t="n"/>
      <c r="K282" s="2" t="n"/>
      <c r="L282" s="2" t="n"/>
    </row>
    <row r="283">
      <c r="A283" s="42" t="n"/>
      <c r="B283" s="43" t="n"/>
      <c r="C283" s="5">
        <f>IF(B283="","",IFERROR(INDEX('Lista de materiales'!$C$5:$C$54,MATCH(B283,'Lista de materiales'!$A$5:$A$54,0)),"ID no existe"))</f>
        <v/>
      </c>
      <c r="D283" s="43" t="n"/>
      <c r="E283" s="43" t="n"/>
      <c r="F283" s="44" t="n"/>
      <c r="G283" s="43" t="n"/>
      <c r="H283" s="43" t="n"/>
      <c r="I283" s="43" t="n"/>
      <c r="J283" s="43" t="n"/>
      <c r="K283" s="2" t="n"/>
      <c r="L283" s="2" t="n"/>
    </row>
    <row r="284">
      <c r="A284" s="42" t="n"/>
      <c r="B284" s="43" t="n"/>
      <c r="C284" s="5">
        <f>IF(B284="","",IFERROR(INDEX('Lista de materiales'!$C$5:$C$54,MATCH(B284,'Lista de materiales'!$A$5:$A$54,0)),"ID no existe"))</f>
        <v/>
      </c>
      <c r="D284" s="43" t="n"/>
      <c r="E284" s="43" t="n"/>
      <c r="F284" s="44" t="n"/>
      <c r="G284" s="43" t="n"/>
      <c r="H284" s="43" t="n"/>
      <c r="I284" s="43" t="n"/>
      <c r="J284" s="43" t="n"/>
      <c r="K284" s="2" t="n"/>
      <c r="L284" s="2" t="n"/>
    </row>
    <row r="285">
      <c r="A285" s="42" t="n"/>
      <c r="B285" s="43" t="n"/>
      <c r="C285" s="5">
        <f>IF(B285="","",IFERROR(INDEX('Lista de materiales'!$C$5:$C$54,MATCH(B285,'Lista de materiales'!$A$5:$A$54,0)),"ID no existe"))</f>
        <v/>
      </c>
      <c r="D285" s="43" t="n"/>
      <c r="E285" s="43" t="n"/>
      <c r="F285" s="44" t="n"/>
      <c r="G285" s="43" t="n"/>
      <c r="H285" s="43" t="n"/>
      <c r="I285" s="43" t="n"/>
      <c r="J285" s="43" t="n"/>
      <c r="K285" s="2" t="n"/>
      <c r="L285" s="2" t="n"/>
    </row>
    <row r="286">
      <c r="A286" s="42" t="n"/>
      <c r="B286" s="43" t="n"/>
      <c r="C286" s="5">
        <f>IF(B286="","",IFERROR(INDEX('Lista de materiales'!$C$5:$C$54,MATCH(B286,'Lista de materiales'!$A$5:$A$54,0)),"ID no existe"))</f>
        <v/>
      </c>
      <c r="D286" s="43" t="n"/>
      <c r="E286" s="43" t="n"/>
      <c r="F286" s="44" t="n"/>
      <c r="G286" s="43" t="n"/>
      <c r="H286" s="43" t="n"/>
      <c r="I286" s="43" t="n"/>
      <c r="J286" s="43" t="n"/>
      <c r="K286" s="2" t="n"/>
      <c r="L286" s="2" t="n"/>
    </row>
    <row r="287">
      <c r="A287" s="42" t="n"/>
      <c r="B287" s="43" t="n"/>
      <c r="C287" s="5">
        <f>IF(B287="","",IFERROR(INDEX('Lista de materiales'!$C$5:$C$54,MATCH(B287,'Lista de materiales'!$A$5:$A$54,0)),"ID no existe"))</f>
        <v/>
      </c>
      <c r="D287" s="43" t="n"/>
      <c r="E287" s="43" t="n"/>
      <c r="F287" s="44" t="n"/>
      <c r="G287" s="43" t="n"/>
      <c r="H287" s="43" t="n"/>
      <c r="I287" s="43" t="n"/>
      <c r="J287" s="43" t="n"/>
      <c r="K287" s="2" t="n"/>
      <c r="L287" s="2" t="n"/>
    </row>
    <row r="288">
      <c r="A288" s="42" t="n"/>
      <c r="B288" s="43" t="n"/>
      <c r="C288" s="5">
        <f>IF(B288="","",IFERROR(INDEX('Lista de materiales'!$C$5:$C$54,MATCH(B288,'Lista de materiales'!$A$5:$A$54,0)),"ID no existe"))</f>
        <v/>
      </c>
      <c r="D288" s="43" t="n"/>
      <c r="E288" s="43" t="n"/>
      <c r="F288" s="44" t="n"/>
      <c r="G288" s="43" t="n"/>
      <c r="H288" s="43" t="n"/>
      <c r="I288" s="43" t="n"/>
      <c r="J288" s="43" t="n"/>
      <c r="K288" s="2" t="n"/>
      <c r="L288" s="2" t="n"/>
    </row>
    <row r="289">
      <c r="A289" s="42" t="n"/>
      <c r="B289" s="43" t="n"/>
      <c r="C289" s="5">
        <f>IF(B289="","",IFERROR(INDEX('Lista de materiales'!$C$5:$C$54,MATCH(B289,'Lista de materiales'!$A$5:$A$54,0)),"ID no existe"))</f>
        <v/>
      </c>
      <c r="D289" s="43" t="n"/>
      <c r="E289" s="43" t="n"/>
      <c r="F289" s="44" t="n"/>
      <c r="G289" s="43" t="n"/>
      <c r="H289" s="43" t="n"/>
      <c r="I289" s="43" t="n"/>
      <c r="J289" s="43" t="n"/>
      <c r="K289" s="2" t="n"/>
      <c r="L289" s="2" t="n"/>
    </row>
    <row r="290">
      <c r="A290" s="42" t="n"/>
      <c r="B290" s="43" t="n"/>
      <c r="C290" s="5">
        <f>IF(B290="","",IFERROR(INDEX('Lista de materiales'!$C$5:$C$54,MATCH(B290,'Lista de materiales'!$A$5:$A$54,0)),"ID no existe"))</f>
        <v/>
      </c>
      <c r="D290" s="43" t="n"/>
      <c r="E290" s="43" t="n"/>
      <c r="F290" s="44" t="n"/>
      <c r="G290" s="43" t="n"/>
      <c r="H290" s="43" t="n"/>
      <c r="I290" s="43" t="n"/>
      <c r="J290" s="43" t="n"/>
      <c r="K290" s="2" t="n"/>
      <c r="L290" s="2" t="n"/>
    </row>
    <row r="291">
      <c r="A291" s="42" t="n"/>
      <c r="B291" s="43" t="n"/>
      <c r="C291" s="5">
        <f>IF(B291="","",IFERROR(INDEX('Lista de materiales'!$C$5:$C$54,MATCH(B291,'Lista de materiales'!$A$5:$A$54,0)),"ID no existe"))</f>
        <v/>
      </c>
      <c r="D291" s="43" t="n"/>
      <c r="E291" s="43" t="n"/>
      <c r="F291" s="44" t="n"/>
      <c r="G291" s="43" t="n"/>
      <c r="H291" s="43" t="n"/>
      <c r="I291" s="43" t="n"/>
      <c r="J291" s="43" t="n"/>
      <c r="K291" s="2" t="n"/>
      <c r="L291" s="2" t="n"/>
    </row>
    <row r="292">
      <c r="A292" s="42" t="n"/>
      <c r="B292" s="43" t="n"/>
      <c r="C292" s="5">
        <f>IF(B292="","",IFERROR(INDEX('Lista de materiales'!$C$5:$C$54,MATCH(B292,'Lista de materiales'!$A$5:$A$54,0)),"ID no existe"))</f>
        <v/>
      </c>
      <c r="D292" s="43" t="n"/>
      <c r="E292" s="43" t="n"/>
      <c r="F292" s="44" t="n"/>
      <c r="G292" s="43" t="n"/>
      <c r="H292" s="43" t="n"/>
      <c r="I292" s="43" t="n"/>
      <c r="J292" s="43" t="n"/>
      <c r="K292" s="2" t="n"/>
      <c r="L292" s="2" t="n"/>
    </row>
    <row r="293">
      <c r="A293" s="42" t="n"/>
      <c r="B293" s="43" t="n"/>
      <c r="C293" s="5">
        <f>IF(B293="","",IFERROR(INDEX('Lista de materiales'!$C$5:$C$54,MATCH(B293,'Lista de materiales'!$A$5:$A$54,0)),"ID no existe"))</f>
        <v/>
      </c>
      <c r="D293" s="43" t="n"/>
      <c r="E293" s="43" t="n"/>
      <c r="F293" s="44" t="n"/>
      <c r="G293" s="43" t="n"/>
      <c r="H293" s="43" t="n"/>
      <c r="I293" s="43" t="n"/>
      <c r="J293" s="43" t="n"/>
      <c r="K293" s="2" t="n"/>
      <c r="L293" s="2" t="n"/>
    </row>
    <row r="294">
      <c r="A294" s="42" t="n"/>
      <c r="B294" s="43" t="n"/>
      <c r="C294" s="5">
        <f>IF(B294="","",IFERROR(INDEX('Lista de materiales'!$C$5:$C$54,MATCH(B294,'Lista de materiales'!$A$5:$A$54,0)),"ID no existe"))</f>
        <v/>
      </c>
      <c r="D294" s="43" t="n"/>
      <c r="E294" s="43" t="n"/>
      <c r="F294" s="44" t="n"/>
      <c r="G294" s="43" t="n"/>
      <c r="H294" s="43" t="n"/>
      <c r="I294" s="43" t="n"/>
      <c r="J294" s="43" t="n"/>
      <c r="K294" s="2" t="n"/>
      <c r="L294" s="2" t="n"/>
    </row>
    <row r="295">
      <c r="A295" s="42" t="n"/>
      <c r="B295" s="43" t="n"/>
      <c r="C295" s="5">
        <f>IF(B295="","",IFERROR(INDEX('Lista de materiales'!$C$5:$C$54,MATCH(B295,'Lista de materiales'!$A$5:$A$54,0)),"ID no existe"))</f>
        <v/>
      </c>
      <c r="D295" s="43" t="n"/>
      <c r="E295" s="43" t="n"/>
      <c r="F295" s="44" t="n"/>
      <c r="G295" s="43" t="n"/>
      <c r="H295" s="43" t="n"/>
      <c r="I295" s="43" t="n"/>
      <c r="J295" s="43" t="n"/>
      <c r="K295" s="2" t="n"/>
      <c r="L295" s="2" t="n"/>
    </row>
    <row r="296">
      <c r="A296" s="42" t="n"/>
      <c r="B296" s="43" t="n"/>
      <c r="C296" s="5">
        <f>IF(B296="","",IFERROR(INDEX('Lista de materiales'!$C$5:$C$54,MATCH(B296,'Lista de materiales'!$A$5:$A$54,0)),"ID no existe"))</f>
        <v/>
      </c>
      <c r="D296" s="43" t="n"/>
      <c r="E296" s="43" t="n"/>
      <c r="F296" s="44" t="n"/>
      <c r="G296" s="43" t="n"/>
      <c r="H296" s="43" t="n"/>
      <c r="I296" s="43" t="n"/>
      <c r="J296" s="43" t="n"/>
      <c r="K296" s="2" t="n"/>
      <c r="L296" s="2" t="n"/>
    </row>
    <row r="297">
      <c r="A297" s="42" t="n"/>
      <c r="B297" s="43" t="n"/>
      <c r="C297" s="5">
        <f>IF(B297="","",IFERROR(INDEX('Lista de materiales'!$C$5:$C$54,MATCH(B297,'Lista de materiales'!$A$5:$A$54,0)),"ID no existe"))</f>
        <v/>
      </c>
      <c r="D297" s="43" t="n"/>
      <c r="E297" s="43" t="n"/>
      <c r="F297" s="44" t="n"/>
      <c r="G297" s="43" t="n"/>
      <c r="H297" s="43" t="n"/>
      <c r="I297" s="43" t="n"/>
      <c r="J297" s="43" t="n"/>
      <c r="K297" s="2" t="n"/>
      <c r="L297" s="2" t="n"/>
    </row>
    <row r="298">
      <c r="A298" s="42" t="n"/>
      <c r="B298" s="43" t="n"/>
      <c r="C298" s="5">
        <f>IF(B298="","",IFERROR(INDEX('Lista de materiales'!$C$5:$C$54,MATCH(B298,'Lista de materiales'!$A$5:$A$54,0)),"ID no existe"))</f>
        <v/>
      </c>
      <c r="D298" s="43" t="n"/>
      <c r="E298" s="43" t="n"/>
      <c r="F298" s="44" t="n"/>
      <c r="G298" s="43" t="n"/>
      <c r="H298" s="43" t="n"/>
      <c r="I298" s="43" t="n"/>
      <c r="J298" s="43" t="n"/>
      <c r="K298" s="2" t="n"/>
      <c r="L298" s="2" t="n"/>
    </row>
    <row r="299">
      <c r="A299" s="42" t="n"/>
      <c r="B299" s="43" t="n"/>
      <c r="C299" s="5">
        <f>IF(B299="","",IFERROR(INDEX('Lista de materiales'!$C$5:$C$54,MATCH(B299,'Lista de materiales'!$A$5:$A$54,0)),"ID no existe"))</f>
        <v/>
      </c>
      <c r="D299" s="43" t="n"/>
      <c r="E299" s="43" t="n"/>
      <c r="F299" s="44" t="n"/>
      <c r="G299" s="43" t="n"/>
      <c r="H299" s="43" t="n"/>
      <c r="I299" s="43" t="n"/>
      <c r="J299" s="43" t="n"/>
      <c r="K299" s="2" t="n"/>
      <c r="L299" s="2" t="n"/>
    </row>
    <row r="300">
      <c r="A300" s="42" t="n"/>
      <c r="B300" s="43" t="n"/>
      <c r="C300" s="5">
        <f>IF(B300="","",IFERROR(INDEX('Lista de materiales'!$C$5:$C$54,MATCH(B300,'Lista de materiales'!$A$5:$A$54,0)),"ID no existe"))</f>
        <v/>
      </c>
      <c r="D300" s="43" t="n"/>
      <c r="E300" s="43" t="n"/>
      <c r="F300" s="44" t="n"/>
      <c r="G300" s="43" t="n"/>
      <c r="H300" s="43" t="n"/>
      <c r="I300" s="43" t="n"/>
      <c r="J300" s="43" t="n"/>
      <c r="K300" s="2" t="n"/>
      <c r="L300" s="2" t="n"/>
    </row>
    <row r="301">
      <c r="A301" s="42" t="n"/>
      <c r="B301" s="43" t="n"/>
      <c r="C301" s="5">
        <f>IF(B301="","",IFERROR(INDEX('Lista de materiales'!$C$5:$C$54,MATCH(B301,'Lista de materiales'!$A$5:$A$54,0)),"ID no existe"))</f>
        <v/>
      </c>
      <c r="D301" s="43" t="n"/>
      <c r="E301" s="43" t="n"/>
      <c r="F301" s="44" t="n"/>
      <c r="G301" s="43" t="n"/>
      <c r="H301" s="43" t="n"/>
      <c r="I301" s="43" t="n"/>
      <c r="J301" s="43" t="n"/>
      <c r="K301" s="2" t="n"/>
      <c r="L301" s="2" t="n"/>
    </row>
    <row r="302">
      <c r="A302" s="42" t="n"/>
      <c r="B302" s="43" t="n"/>
      <c r="C302" s="5">
        <f>IF(B302="","",IFERROR(INDEX('Lista de materiales'!$C$5:$C$54,MATCH(B302,'Lista de materiales'!$A$5:$A$54,0)),"ID no existe"))</f>
        <v/>
      </c>
      <c r="D302" s="43" t="n"/>
      <c r="E302" s="43" t="n"/>
      <c r="F302" s="44" t="n"/>
      <c r="G302" s="43" t="n"/>
      <c r="H302" s="43" t="n"/>
      <c r="I302" s="43" t="n"/>
      <c r="J302" s="43" t="n"/>
      <c r="K302" s="2" t="n"/>
      <c r="L302" s="2" t="n"/>
    </row>
    <row r="303">
      <c r="A303" s="42" t="n"/>
      <c r="B303" s="43" t="n"/>
      <c r="C303" s="5">
        <f>IF(B303="","",IFERROR(INDEX('Lista de materiales'!$C$5:$C$54,MATCH(B303,'Lista de materiales'!$A$5:$A$54,0)),"ID no existe"))</f>
        <v/>
      </c>
      <c r="D303" s="43" t="n"/>
      <c r="E303" s="43" t="n"/>
      <c r="F303" s="44" t="n"/>
      <c r="G303" s="43" t="n"/>
      <c r="H303" s="43" t="n"/>
      <c r="I303" s="43" t="n"/>
      <c r="J303" s="43" t="n"/>
      <c r="K303" s="2" t="n"/>
      <c r="L303" s="2" t="n"/>
    </row>
    <row r="304">
      <c r="A304" s="42" t="n"/>
      <c r="B304" s="43" t="n"/>
      <c r="C304" s="5">
        <f>IF(B304="","",IFERROR(INDEX('Lista de materiales'!$C$5:$C$54,MATCH(B304,'Lista de materiales'!$A$5:$A$54,0)),"ID no existe"))</f>
        <v/>
      </c>
      <c r="D304" s="43" t="n"/>
      <c r="E304" s="43" t="n"/>
      <c r="F304" s="44" t="n"/>
      <c r="G304" s="43" t="n"/>
      <c r="H304" s="43" t="n"/>
      <c r="I304" s="43" t="n"/>
      <c r="J304" s="43" t="n"/>
      <c r="K304" s="2" t="n"/>
      <c r="L304" s="2" t="n"/>
    </row>
    <row r="305">
      <c r="A305" s="42" t="n"/>
      <c r="B305" s="43" t="n"/>
      <c r="C305" s="5">
        <f>IF(B305="","",IFERROR(INDEX('Lista de materiales'!$C$5:$C$54,MATCH(B305,'Lista de materiales'!$A$5:$A$54,0)),"ID no existe"))</f>
        <v/>
      </c>
      <c r="D305" s="43" t="n"/>
      <c r="E305" s="43" t="n"/>
      <c r="F305" s="44" t="n"/>
      <c r="G305" s="43" t="n"/>
      <c r="H305" s="43" t="n"/>
      <c r="I305" s="43" t="n"/>
      <c r="J305" s="43" t="n"/>
      <c r="K305" s="2" t="n"/>
      <c r="L305" s="2" t="n"/>
    </row>
    <row r="306">
      <c r="A306" s="42" t="n"/>
      <c r="B306" s="43" t="n"/>
      <c r="C306" s="5">
        <f>IF(B306="","",IFERROR(INDEX('Lista de materiales'!$C$5:$C$54,MATCH(B306,'Lista de materiales'!$A$5:$A$54,0)),"ID no existe"))</f>
        <v/>
      </c>
      <c r="D306" s="43" t="n"/>
      <c r="E306" s="43" t="n"/>
      <c r="F306" s="44" t="n"/>
      <c r="G306" s="43" t="n"/>
      <c r="H306" s="43" t="n"/>
      <c r="I306" s="43" t="n"/>
      <c r="J306" s="43" t="n"/>
      <c r="K306" s="2" t="n"/>
      <c r="L306" s="2" t="n"/>
    </row>
    <row r="307">
      <c r="A307" s="42" t="n"/>
      <c r="B307" s="43" t="n"/>
      <c r="C307" s="5">
        <f>IF(B307="","",IFERROR(INDEX('Lista de materiales'!$C$5:$C$54,MATCH(B307,'Lista de materiales'!$A$5:$A$54,0)),"ID no existe"))</f>
        <v/>
      </c>
      <c r="D307" s="43" t="n"/>
      <c r="E307" s="43" t="n"/>
      <c r="F307" s="44" t="n"/>
      <c r="G307" s="43" t="n"/>
      <c r="H307" s="43" t="n"/>
      <c r="I307" s="43" t="n"/>
      <c r="J307" s="43" t="n"/>
      <c r="K307" s="2" t="n"/>
      <c r="L307" s="2" t="n"/>
    </row>
    <row r="308">
      <c r="A308" s="42" t="n"/>
      <c r="B308" s="43" t="n"/>
      <c r="C308" s="5">
        <f>IF(B308="","",IFERROR(INDEX('Lista de materiales'!$C$5:$C$54,MATCH(B308,'Lista de materiales'!$A$5:$A$54,0)),"ID no existe"))</f>
        <v/>
      </c>
      <c r="D308" s="43" t="n"/>
      <c r="E308" s="43" t="n"/>
      <c r="F308" s="44" t="n"/>
      <c r="G308" s="43" t="n"/>
      <c r="H308" s="43" t="n"/>
      <c r="I308" s="43" t="n"/>
      <c r="J308" s="43" t="n"/>
      <c r="K308" s="2" t="n"/>
      <c r="L308" s="2" t="n"/>
    </row>
    <row r="309">
      <c r="A309" s="42" t="n"/>
      <c r="B309" s="43" t="n"/>
      <c r="C309" s="5">
        <f>IF(B309="","",IFERROR(INDEX('Lista de materiales'!$C$5:$C$54,MATCH(B309,'Lista de materiales'!$A$5:$A$54,0)),"ID no existe"))</f>
        <v/>
      </c>
      <c r="D309" s="43" t="n"/>
      <c r="E309" s="43" t="n"/>
      <c r="F309" s="44" t="n"/>
      <c r="G309" s="43" t="n"/>
      <c r="H309" s="43" t="n"/>
      <c r="I309" s="43" t="n"/>
      <c r="J309" s="43" t="n"/>
      <c r="K309" s="2" t="n"/>
      <c r="L309" s="2" t="n"/>
    </row>
    <row r="310">
      <c r="A310" s="42" t="n"/>
      <c r="B310" s="43" t="n"/>
      <c r="C310" s="5">
        <f>IF(B310="","",IFERROR(INDEX('Lista de materiales'!$C$5:$C$54,MATCH(B310,'Lista de materiales'!$A$5:$A$54,0)),"ID no existe"))</f>
        <v/>
      </c>
      <c r="D310" s="43" t="n"/>
      <c r="E310" s="43" t="n"/>
      <c r="F310" s="44" t="n"/>
      <c r="G310" s="43" t="n"/>
      <c r="H310" s="43" t="n"/>
      <c r="I310" s="43" t="n"/>
      <c r="J310" s="43" t="n"/>
      <c r="K310" s="2" t="n"/>
      <c r="L310" s="2" t="n"/>
    </row>
    <row r="311">
      <c r="A311" s="42" t="n"/>
      <c r="B311" s="43" t="n"/>
      <c r="C311" s="5">
        <f>IF(B311="","",IFERROR(INDEX('Lista de materiales'!$C$5:$C$54,MATCH(B311,'Lista de materiales'!$A$5:$A$54,0)),"ID no existe"))</f>
        <v/>
      </c>
      <c r="D311" s="43" t="n"/>
      <c r="E311" s="43" t="n"/>
      <c r="F311" s="44" t="n"/>
      <c r="G311" s="43" t="n"/>
      <c r="H311" s="43" t="n"/>
      <c r="I311" s="43" t="n"/>
      <c r="J311" s="43" t="n"/>
      <c r="K311" s="2" t="n"/>
      <c r="L311" s="2" t="n"/>
    </row>
    <row r="312">
      <c r="A312" s="42" t="n"/>
      <c r="B312" s="43" t="n"/>
      <c r="C312" s="5">
        <f>IF(B312="","",IFERROR(INDEX('Lista de materiales'!$C$5:$C$54,MATCH(B312,'Lista de materiales'!$A$5:$A$54,0)),"ID no existe"))</f>
        <v/>
      </c>
      <c r="D312" s="43" t="n"/>
      <c r="E312" s="43" t="n"/>
      <c r="F312" s="44" t="n"/>
      <c r="G312" s="43" t="n"/>
      <c r="H312" s="43" t="n"/>
      <c r="I312" s="43" t="n"/>
      <c r="J312" s="43" t="n"/>
      <c r="K312" s="2" t="n"/>
      <c r="L312" s="2" t="n"/>
    </row>
    <row r="313">
      <c r="A313" s="42" t="n"/>
      <c r="B313" s="43" t="n"/>
      <c r="C313" s="5">
        <f>IF(B313="","",IFERROR(INDEX('Lista de materiales'!$C$5:$C$54,MATCH(B313,'Lista de materiales'!$A$5:$A$54,0)),"ID no existe"))</f>
        <v/>
      </c>
      <c r="D313" s="43" t="n"/>
      <c r="E313" s="43" t="n"/>
      <c r="F313" s="44" t="n"/>
      <c r="G313" s="43" t="n"/>
      <c r="H313" s="43" t="n"/>
      <c r="I313" s="43" t="n"/>
      <c r="J313" s="43" t="n"/>
      <c r="K313" s="2" t="n"/>
      <c r="L313" s="2" t="n"/>
    </row>
    <row r="314">
      <c r="A314" s="42" t="n"/>
      <c r="B314" s="43" t="n"/>
      <c r="C314" s="5">
        <f>IF(B314="","",IFERROR(INDEX('Lista de materiales'!$C$5:$C$54,MATCH(B314,'Lista de materiales'!$A$5:$A$54,0)),"ID no existe"))</f>
        <v/>
      </c>
      <c r="D314" s="43" t="n"/>
      <c r="E314" s="43" t="n"/>
      <c r="F314" s="44" t="n"/>
      <c r="G314" s="43" t="n"/>
      <c r="H314" s="43" t="n"/>
      <c r="I314" s="43" t="n"/>
      <c r="J314" s="43" t="n"/>
      <c r="K314" s="2" t="n"/>
      <c r="L314" s="2" t="n"/>
    </row>
    <row r="315">
      <c r="A315" s="42" t="n"/>
      <c r="B315" s="43" t="n"/>
      <c r="C315" s="5">
        <f>IF(B315="","",IFERROR(INDEX('Lista de materiales'!$C$5:$C$54,MATCH(B315,'Lista de materiales'!$A$5:$A$54,0)),"ID no existe"))</f>
        <v/>
      </c>
      <c r="D315" s="43" t="n"/>
      <c r="E315" s="43" t="n"/>
      <c r="F315" s="44" t="n"/>
      <c r="G315" s="43" t="n"/>
      <c r="H315" s="43" t="n"/>
      <c r="I315" s="43" t="n"/>
      <c r="J315" s="43" t="n"/>
      <c r="K315" s="2" t="n"/>
      <c r="L315" s="2" t="n"/>
    </row>
    <row r="316">
      <c r="A316" s="42" t="n"/>
      <c r="B316" s="43" t="n"/>
      <c r="C316" s="5">
        <f>IF(B316="","",IFERROR(INDEX('Lista de materiales'!$C$5:$C$54,MATCH(B316,'Lista de materiales'!$A$5:$A$54,0)),"ID no existe"))</f>
        <v/>
      </c>
      <c r="D316" s="43" t="n"/>
      <c r="E316" s="43" t="n"/>
      <c r="F316" s="44" t="n"/>
      <c r="G316" s="43" t="n"/>
      <c r="H316" s="43" t="n"/>
      <c r="I316" s="43" t="n"/>
      <c r="J316" s="43" t="n"/>
      <c r="K316" s="2" t="n"/>
      <c r="L316" s="2" t="n"/>
    </row>
    <row r="317">
      <c r="A317" s="42" t="n"/>
      <c r="B317" s="43" t="n"/>
      <c r="C317" s="5">
        <f>IF(B317="","",IFERROR(INDEX('Lista de materiales'!$C$5:$C$54,MATCH(B317,'Lista de materiales'!$A$5:$A$54,0)),"ID no existe"))</f>
        <v/>
      </c>
      <c r="D317" s="43" t="n"/>
      <c r="E317" s="43" t="n"/>
      <c r="F317" s="44" t="n"/>
      <c r="G317" s="43" t="n"/>
      <c r="H317" s="43" t="n"/>
      <c r="I317" s="43" t="n"/>
      <c r="J317" s="43" t="n"/>
      <c r="K317" s="2" t="n"/>
      <c r="L317" s="2" t="n"/>
    </row>
    <row r="318">
      <c r="A318" s="42" t="n"/>
      <c r="B318" s="43" t="n"/>
      <c r="C318" s="5">
        <f>IF(B318="","",IFERROR(INDEX('Lista de materiales'!$C$5:$C$54,MATCH(B318,'Lista de materiales'!$A$5:$A$54,0)),"ID no existe"))</f>
        <v/>
      </c>
      <c r="D318" s="43" t="n"/>
      <c r="E318" s="43" t="n"/>
      <c r="F318" s="44" t="n"/>
      <c r="G318" s="43" t="n"/>
      <c r="H318" s="43" t="n"/>
      <c r="I318" s="43" t="n"/>
      <c r="J318" s="43" t="n"/>
      <c r="K318" s="2" t="n"/>
      <c r="L318" s="2" t="n"/>
    </row>
    <row r="319">
      <c r="A319" s="42" t="n"/>
      <c r="B319" s="43" t="n"/>
      <c r="C319" s="5">
        <f>IF(B319="","",IFERROR(INDEX('Lista de materiales'!$C$5:$C$54,MATCH(B319,'Lista de materiales'!$A$5:$A$54,0)),"ID no existe"))</f>
        <v/>
      </c>
      <c r="D319" s="43" t="n"/>
      <c r="E319" s="43" t="n"/>
      <c r="F319" s="44" t="n"/>
      <c r="G319" s="43" t="n"/>
      <c r="H319" s="43" t="n"/>
      <c r="I319" s="43" t="n"/>
      <c r="J319" s="43" t="n"/>
      <c r="K319" s="2" t="n"/>
      <c r="L319" s="2" t="n"/>
    </row>
    <row r="320">
      <c r="A320" s="42" t="n"/>
      <c r="B320" s="43" t="n"/>
      <c r="C320" s="5">
        <f>IF(B320="","",IFERROR(INDEX('Lista de materiales'!$C$5:$C$54,MATCH(B320,'Lista de materiales'!$A$5:$A$54,0)),"ID no existe"))</f>
        <v/>
      </c>
      <c r="D320" s="43" t="n"/>
      <c r="E320" s="43" t="n"/>
      <c r="F320" s="44" t="n"/>
      <c r="G320" s="43" t="n"/>
      <c r="H320" s="43" t="n"/>
      <c r="I320" s="43" t="n"/>
      <c r="J320" s="43" t="n"/>
      <c r="K320" s="2" t="n"/>
      <c r="L320" s="2" t="n"/>
    </row>
    <row r="321">
      <c r="A321" s="42" t="n"/>
      <c r="B321" s="43" t="n"/>
      <c r="C321" s="5">
        <f>IF(B321="","",IFERROR(INDEX('Lista de materiales'!$C$5:$C$54,MATCH(B321,'Lista de materiales'!$A$5:$A$54,0)),"ID no existe"))</f>
        <v/>
      </c>
      <c r="D321" s="43" t="n"/>
      <c r="E321" s="43" t="n"/>
      <c r="F321" s="44" t="n"/>
      <c r="G321" s="43" t="n"/>
      <c r="H321" s="43" t="n"/>
      <c r="I321" s="43" t="n"/>
      <c r="J321" s="43" t="n"/>
      <c r="K321" s="2" t="n"/>
      <c r="L321" s="2" t="n"/>
    </row>
    <row r="322">
      <c r="A322" s="42" t="n"/>
      <c r="B322" s="43" t="n"/>
      <c r="C322" s="5">
        <f>IF(B322="","",IFERROR(INDEX('Lista de materiales'!$C$5:$C$54,MATCH(B322,'Lista de materiales'!$A$5:$A$54,0)),"ID no existe"))</f>
        <v/>
      </c>
      <c r="D322" s="43" t="n"/>
      <c r="E322" s="43" t="n"/>
      <c r="F322" s="44" t="n"/>
      <c r="G322" s="43" t="n"/>
      <c r="H322" s="43" t="n"/>
      <c r="I322" s="43" t="n"/>
      <c r="J322" s="43" t="n"/>
      <c r="K322" s="2" t="n"/>
      <c r="L322" s="2" t="n"/>
    </row>
    <row r="323">
      <c r="A323" s="42" t="n"/>
      <c r="B323" s="43" t="n"/>
      <c r="C323" s="5">
        <f>IF(B323="","",IFERROR(INDEX('Lista de materiales'!$C$5:$C$54,MATCH(B323,'Lista de materiales'!$A$5:$A$54,0)),"ID no existe"))</f>
        <v/>
      </c>
      <c r="D323" s="43" t="n"/>
      <c r="E323" s="43" t="n"/>
      <c r="F323" s="44" t="n"/>
      <c r="G323" s="43" t="n"/>
      <c r="H323" s="43" t="n"/>
      <c r="I323" s="43" t="n"/>
      <c r="J323" s="43" t="n"/>
      <c r="K323" s="2" t="n"/>
      <c r="L323" s="2" t="n"/>
    </row>
    <row r="324">
      <c r="A324" s="42" t="n"/>
      <c r="B324" s="43" t="n"/>
      <c r="C324" s="5">
        <f>IF(B324="","",IFERROR(INDEX('Lista de materiales'!$C$5:$C$54,MATCH(B324,'Lista de materiales'!$A$5:$A$54,0)),"ID no existe"))</f>
        <v/>
      </c>
      <c r="D324" s="43" t="n"/>
      <c r="E324" s="43" t="n"/>
      <c r="F324" s="44" t="n"/>
      <c r="G324" s="43" t="n"/>
      <c r="H324" s="43" t="n"/>
      <c r="I324" s="43" t="n"/>
      <c r="J324" s="43" t="n"/>
      <c r="K324" s="2" t="n"/>
      <c r="L324" s="2" t="n"/>
    </row>
    <row r="325">
      <c r="A325" s="42" t="n"/>
      <c r="B325" s="43" t="n"/>
      <c r="C325" s="5">
        <f>IF(B325="","",IFERROR(INDEX('Lista de materiales'!$C$5:$C$54,MATCH(B325,'Lista de materiales'!$A$5:$A$54,0)),"ID no existe"))</f>
        <v/>
      </c>
      <c r="D325" s="43" t="n"/>
      <c r="E325" s="43" t="n"/>
      <c r="F325" s="44" t="n"/>
      <c r="G325" s="43" t="n"/>
      <c r="H325" s="43" t="n"/>
      <c r="I325" s="43" t="n"/>
      <c r="J325" s="43" t="n"/>
      <c r="K325" s="2" t="n"/>
      <c r="L325" s="2" t="n"/>
    </row>
    <row r="326">
      <c r="A326" s="42" t="n"/>
      <c r="B326" s="43" t="n"/>
      <c r="C326" s="5">
        <f>IF(B326="","",IFERROR(INDEX('Lista de materiales'!$C$5:$C$54,MATCH(B326,'Lista de materiales'!$A$5:$A$54,0)),"ID no existe"))</f>
        <v/>
      </c>
      <c r="D326" s="43" t="n"/>
      <c r="E326" s="43" t="n"/>
      <c r="F326" s="44" t="n"/>
      <c r="G326" s="43" t="n"/>
      <c r="H326" s="43" t="n"/>
      <c r="I326" s="43" t="n"/>
      <c r="J326" s="43" t="n"/>
      <c r="K326" s="2" t="n"/>
      <c r="L326" s="2" t="n"/>
    </row>
    <row r="327">
      <c r="A327" s="42" t="n"/>
      <c r="B327" s="43" t="n"/>
      <c r="C327" s="5">
        <f>IF(B327="","",IFERROR(INDEX('Lista de materiales'!$C$5:$C$54,MATCH(B327,'Lista de materiales'!$A$5:$A$54,0)),"ID no existe"))</f>
        <v/>
      </c>
      <c r="D327" s="43" t="n"/>
      <c r="E327" s="43" t="n"/>
      <c r="F327" s="44" t="n"/>
      <c r="G327" s="43" t="n"/>
      <c r="H327" s="43" t="n"/>
      <c r="I327" s="43" t="n"/>
      <c r="J327" s="43" t="n"/>
      <c r="K327" s="2" t="n"/>
      <c r="L327" s="2" t="n"/>
    </row>
    <row r="328">
      <c r="A328" s="42" t="n"/>
      <c r="B328" s="43" t="n"/>
      <c r="C328" s="5">
        <f>IF(B328="","",IFERROR(INDEX('Lista de materiales'!$C$5:$C$54,MATCH(B328,'Lista de materiales'!$A$5:$A$54,0)),"ID no existe"))</f>
        <v/>
      </c>
      <c r="D328" s="43" t="n"/>
      <c r="E328" s="43" t="n"/>
      <c r="F328" s="44" t="n"/>
      <c r="G328" s="43" t="n"/>
      <c r="H328" s="43" t="n"/>
      <c r="I328" s="43" t="n"/>
      <c r="J328" s="43" t="n"/>
      <c r="K328" s="2" t="n"/>
      <c r="L328" s="2" t="n"/>
    </row>
    <row r="329">
      <c r="A329" s="42" t="n"/>
      <c r="B329" s="43" t="n"/>
      <c r="C329" s="5">
        <f>IF(B329="","",IFERROR(INDEX('Lista de materiales'!$C$5:$C$54,MATCH(B329,'Lista de materiales'!$A$5:$A$54,0)),"ID no existe"))</f>
        <v/>
      </c>
      <c r="D329" s="43" t="n"/>
      <c r="E329" s="43" t="n"/>
      <c r="F329" s="44" t="n"/>
      <c r="G329" s="43" t="n"/>
      <c r="H329" s="43" t="n"/>
      <c r="I329" s="43" t="n"/>
      <c r="J329" s="43" t="n"/>
      <c r="K329" s="2" t="n"/>
      <c r="L329" s="2" t="n"/>
    </row>
    <row r="330">
      <c r="A330" s="42" t="n"/>
      <c r="B330" s="43" t="n"/>
      <c r="C330" s="5">
        <f>IF(B330="","",IFERROR(INDEX('Lista de materiales'!$C$5:$C$54,MATCH(B330,'Lista de materiales'!$A$5:$A$54,0)),"ID no existe"))</f>
        <v/>
      </c>
      <c r="D330" s="43" t="n"/>
      <c r="E330" s="43" t="n"/>
      <c r="F330" s="44" t="n"/>
      <c r="G330" s="43" t="n"/>
      <c r="H330" s="43" t="n"/>
      <c r="I330" s="43" t="n"/>
      <c r="J330" s="43" t="n"/>
      <c r="K330" s="2" t="n"/>
      <c r="L330" s="2" t="n"/>
    </row>
    <row r="331">
      <c r="A331" s="42" t="n"/>
      <c r="B331" s="43" t="n"/>
      <c r="C331" s="5">
        <f>IF(B331="","",IFERROR(INDEX('Lista de materiales'!$C$5:$C$54,MATCH(B331,'Lista de materiales'!$A$5:$A$54,0)),"ID no existe"))</f>
        <v/>
      </c>
      <c r="D331" s="43" t="n"/>
      <c r="E331" s="43" t="n"/>
      <c r="F331" s="44" t="n"/>
      <c r="G331" s="43" t="n"/>
      <c r="H331" s="43" t="n"/>
      <c r="I331" s="43" t="n"/>
      <c r="J331" s="43" t="n"/>
      <c r="K331" s="2" t="n"/>
      <c r="L331" s="2" t="n"/>
    </row>
    <row r="332">
      <c r="A332" s="42" t="n"/>
      <c r="B332" s="43" t="n"/>
      <c r="C332" s="5">
        <f>IF(B332="","",IFERROR(INDEX('Lista de materiales'!$C$5:$C$54,MATCH(B332,'Lista de materiales'!$A$5:$A$54,0)),"ID no existe"))</f>
        <v/>
      </c>
      <c r="D332" s="43" t="n"/>
      <c r="E332" s="43" t="n"/>
      <c r="F332" s="44" t="n"/>
      <c r="G332" s="43" t="n"/>
      <c r="H332" s="43" t="n"/>
      <c r="I332" s="43" t="n"/>
      <c r="J332" s="43" t="n"/>
      <c r="K332" s="2" t="n"/>
      <c r="L332" s="2" t="n"/>
    </row>
    <row r="333">
      <c r="A333" s="42" t="n"/>
      <c r="B333" s="43" t="n"/>
      <c r="C333" s="5">
        <f>IF(B333="","",IFERROR(INDEX('Lista de materiales'!$C$5:$C$54,MATCH(B333,'Lista de materiales'!$A$5:$A$54,0)),"ID no existe"))</f>
        <v/>
      </c>
      <c r="D333" s="43" t="n"/>
      <c r="E333" s="43" t="n"/>
      <c r="F333" s="44" t="n"/>
      <c r="G333" s="43" t="n"/>
      <c r="H333" s="43" t="n"/>
      <c r="I333" s="43" t="n"/>
      <c r="J333" s="43" t="n"/>
      <c r="K333" s="2" t="n"/>
      <c r="L333" s="2" t="n"/>
    </row>
    <row r="334">
      <c r="A334" s="42" t="n"/>
      <c r="B334" s="43" t="n"/>
      <c r="C334" s="5">
        <f>IF(B334="","",IFERROR(INDEX('Lista de materiales'!$C$5:$C$54,MATCH(B334,'Lista de materiales'!$A$5:$A$54,0)),"ID no existe"))</f>
        <v/>
      </c>
      <c r="D334" s="43" t="n"/>
      <c r="E334" s="43" t="n"/>
      <c r="F334" s="44" t="n"/>
      <c r="G334" s="43" t="n"/>
      <c r="H334" s="43" t="n"/>
      <c r="I334" s="43" t="n"/>
      <c r="J334" s="43" t="n"/>
      <c r="K334" s="2" t="n"/>
      <c r="L334" s="2" t="n"/>
    </row>
    <row r="335">
      <c r="A335" s="42" t="n"/>
      <c r="B335" s="43" t="n"/>
      <c r="C335" s="5">
        <f>IF(B335="","",IFERROR(INDEX('Lista de materiales'!$C$5:$C$54,MATCH(B335,'Lista de materiales'!$A$5:$A$54,0)),"ID no existe"))</f>
        <v/>
      </c>
      <c r="D335" s="43" t="n"/>
      <c r="E335" s="43" t="n"/>
      <c r="F335" s="44" t="n"/>
      <c r="G335" s="43" t="n"/>
      <c r="H335" s="43" t="n"/>
      <c r="I335" s="43" t="n"/>
      <c r="J335" s="43" t="n"/>
      <c r="K335" s="2" t="n"/>
      <c r="L335" s="2" t="n"/>
    </row>
    <row r="336">
      <c r="A336" s="42" t="n"/>
      <c r="B336" s="43" t="n"/>
      <c r="C336" s="5">
        <f>IF(B336="","",IFERROR(INDEX('Lista de materiales'!$C$5:$C$54,MATCH(B336,'Lista de materiales'!$A$5:$A$54,0)),"ID no existe"))</f>
        <v/>
      </c>
      <c r="D336" s="43" t="n"/>
      <c r="E336" s="43" t="n"/>
      <c r="F336" s="44" t="n"/>
      <c r="G336" s="43" t="n"/>
      <c r="H336" s="43" t="n"/>
      <c r="I336" s="43" t="n"/>
      <c r="J336" s="43" t="n"/>
      <c r="K336" s="2" t="n"/>
      <c r="L336" s="2" t="n"/>
    </row>
    <row r="337">
      <c r="A337" s="42" t="n"/>
      <c r="B337" s="43" t="n"/>
      <c r="C337" s="5">
        <f>IF(B337="","",IFERROR(INDEX('Lista de materiales'!$C$5:$C$54,MATCH(B337,'Lista de materiales'!$A$5:$A$54,0)),"ID no existe"))</f>
        <v/>
      </c>
      <c r="D337" s="43" t="n"/>
      <c r="E337" s="43" t="n"/>
      <c r="F337" s="44" t="n"/>
      <c r="G337" s="43" t="n"/>
      <c r="H337" s="43" t="n"/>
      <c r="I337" s="43" t="n"/>
      <c r="J337" s="43" t="n"/>
      <c r="K337" s="2" t="n"/>
      <c r="L337" s="2" t="n"/>
    </row>
    <row r="338">
      <c r="A338" s="42" t="n"/>
      <c r="B338" s="43" t="n"/>
      <c r="C338" s="5">
        <f>IF(B338="","",IFERROR(INDEX('Lista de materiales'!$C$5:$C$54,MATCH(B338,'Lista de materiales'!$A$5:$A$54,0)),"ID no existe"))</f>
        <v/>
      </c>
      <c r="D338" s="43" t="n"/>
      <c r="E338" s="43" t="n"/>
      <c r="F338" s="44" t="n"/>
      <c r="G338" s="43" t="n"/>
      <c r="H338" s="43" t="n"/>
      <c r="I338" s="43" t="n"/>
      <c r="J338" s="43" t="n"/>
      <c r="K338" s="2" t="n"/>
      <c r="L338" s="2" t="n"/>
    </row>
    <row r="339">
      <c r="A339" s="42" t="n"/>
      <c r="B339" s="43" t="n"/>
      <c r="C339" s="5">
        <f>IF(B339="","",IFERROR(INDEX('Lista de materiales'!$C$5:$C$54,MATCH(B339,'Lista de materiales'!$A$5:$A$54,0)),"ID no existe"))</f>
        <v/>
      </c>
      <c r="D339" s="43" t="n"/>
      <c r="E339" s="43" t="n"/>
      <c r="F339" s="44" t="n"/>
      <c r="G339" s="43" t="n"/>
      <c r="H339" s="43" t="n"/>
      <c r="I339" s="43" t="n"/>
      <c r="J339" s="43" t="n"/>
      <c r="K339" s="2" t="n"/>
      <c r="L339" s="2" t="n"/>
    </row>
    <row r="340">
      <c r="A340" s="42" t="n"/>
      <c r="B340" s="43" t="n"/>
      <c r="C340" s="5">
        <f>IF(B340="","",IFERROR(INDEX('Lista de materiales'!$C$5:$C$54,MATCH(B340,'Lista de materiales'!$A$5:$A$54,0)),"ID no existe"))</f>
        <v/>
      </c>
      <c r="D340" s="43" t="n"/>
      <c r="E340" s="43" t="n"/>
      <c r="F340" s="44" t="n"/>
      <c r="G340" s="43" t="n"/>
      <c r="H340" s="43" t="n"/>
      <c r="I340" s="43" t="n"/>
      <c r="J340" s="43" t="n"/>
      <c r="K340" s="2" t="n"/>
      <c r="L340" s="2" t="n"/>
    </row>
    <row r="341">
      <c r="A341" s="42" t="n"/>
      <c r="B341" s="43" t="n"/>
      <c r="C341" s="5">
        <f>IF(B341="","",IFERROR(INDEX('Lista de materiales'!$C$5:$C$54,MATCH(B341,'Lista de materiales'!$A$5:$A$54,0)),"ID no existe"))</f>
        <v/>
      </c>
      <c r="D341" s="43" t="n"/>
      <c r="E341" s="43" t="n"/>
      <c r="F341" s="44" t="n"/>
      <c r="G341" s="43" t="n"/>
      <c r="H341" s="43" t="n"/>
      <c r="I341" s="43" t="n"/>
      <c r="J341" s="43" t="n"/>
      <c r="K341" s="2" t="n"/>
      <c r="L341" s="2" t="n"/>
    </row>
    <row r="342">
      <c r="A342" s="42" t="n"/>
      <c r="B342" s="43" t="n"/>
      <c r="C342" s="5">
        <f>IF(B342="","",IFERROR(INDEX('Lista de materiales'!$C$5:$C$54,MATCH(B342,'Lista de materiales'!$A$5:$A$54,0)),"ID no existe"))</f>
        <v/>
      </c>
      <c r="D342" s="43" t="n"/>
      <c r="E342" s="43" t="n"/>
      <c r="F342" s="44" t="n"/>
      <c r="G342" s="43" t="n"/>
      <c r="H342" s="43" t="n"/>
      <c r="I342" s="43" t="n"/>
      <c r="J342" s="43" t="n"/>
      <c r="K342" s="2" t="n"/>
      <c r="L342" s="2" t="n"/>
    </row>
    <row r="343">
      <c r="A343" s="42" t="n"/>
      <c r="B343" s="43" t="n"/>
      <c r="C343" s="5">
        <f>IF(B343="","",IFERROR(INDEX('Lista de materiales'!$C$5:$C$54,MATCH(B343,'Lista de materiales'!$A$5:$A$54,0)),"ID no existe"))</f>
        <v/>
      </c>
      <c r="D343" s="43" t="n"/>
      <c r="E343" s="43" t="n"/>
      <c r="F343" s="44" t="n"/>
      <c r="G343" s="43" t="n"/>
      <c r="H343" s="43" t="n"/>
      <c r="I343" s="43" t="n"/>
      <c r="J343" s="43" t="n"/>
      <c r="K343" s="2" t="n"/>
      <c r="L343" s="2" t="n"/>
    </row>
    <row r="344">
      <c r="A344" s="42" t="n"/>
      <c r="B344" s="43" t="n"/>
      <c r="C344" s="5">
        <f>IF(B344="","",IFERROR(INDEX('Lista de materiales'!$C$5:$C$54,MATCH(B344,'Lista de materiales'!$A$5:$A$54,0)),"ID no existe"))</f>
        <v/>
      </c>
      <c r="D344" s="43" t="n"/>
      <c r="E344" s="43" t="n"/>
      <c r="F344" s="44" t="n"/>
      <c r="G344" s="43" t="n"/>
      <c r="H344" s="43" t="n"/>
      <c r="I344" s="43" t="n"/>
      <c r="J344" s="43" t="n"/>
      <c r="K344" s="2" t="n"/>
      <c r="L344" s="2" t="n"/>
    </row>
    <row r="345">
      <c r="A345" s="42" t="n"/>
      <c r="B345" s="43" t="n"/>
      <c r="C345" s="5">
        <f>IF(B345="","",IFERROR(INDEX('Lista de materiales'!$C$5:$C$54,MATCH(B345,'Lista de materiales'!$A$5:$A$54,0)),"ID no existe"))</f>
        <v/>
      </c>
      <c r="D345" s="43" t="n"/>
      <c r="E345" s="43" t="n"/>
      <c r="F345" s="44" t="n"/>
      <c r="G345" s="43" t="n"/>
      <c r="H345" s="43" t="n"/>
      <c r="I345" s="43" t="n"/>
      <c r="J345" s="43" t="n"/>
      <c r="K345" s="2" t="n"/>
      <c r="L345" s="2" t="n"/>
    </row>
    <row r="346">
      <c r="A346" s="42" t="n"/>
      <c r="B346" s="43" t="n"/>
      <c r="C346" s="5">
        <f>IF(B346="","",IFERROR(INDEX('Lista de materiales'!$C$5:$C$54,MATCH(B346,'Lista de materiales'!$A$5:$A$54,0)),"ID no existe"))</f>
        <v/>
      </c>
      <c r="D346" s="43" t="n"/>
      <c r="E346" s="43" t="n"/>
      <c r="F346" s="44" t="n"/>
      <c r="G346" s="43" t="n"/>
      <c r="H346" s="43" t="n"/>
      <c r="I346" s="43" t="n"/>
      <c r="J346" s="43" t="n"/>
      <c r="K346" s="2" t="n"/>
      <c r="L346" s="2" t="n"/>
    </row>
    <row r="347">
      <c r="A347" s="42" t="n"/>
      <c r="B347" s="43" t="n"/>
      <c r="C347" s="5">
        <f>IF(B347="","",IFERROR(INDEX('Lista de materiales'!$C$5:$C$54,MATCH(B347,'Lista de materiales'!$A$5:$A$54,0)),"ID no existe"))</f>
        <v/>
      </c>
      <c r="D347" s="43" t="n"/>
      <c r="E347" s="43" t="n"/>
      <c r="F347" s="44" t="n"/>
      <c r="G347" s="43" t="n"/>
      <c r="H347" s="43" t="n"/>
      <c r="I347" s="43" t="n"/>
      <c r="J347" s="43" t="n"/>
      <c r="K347" s="2" t="n"/>
      <c r="L347" s="2" t="n"/>
    </row>
    <row r="348">
      <c r="A348" s="42" t="n"/>
      <c r="B348" s="43" t="n"/>
      <c r="C348" s="5">
        <f>IF(B348="","",IFERROR(INDEX('Lista de materiales'!$C$5:$C$54,MATCH(B348,'Lista de materiales'!$A$5:$A$54,0)),"ID no existe"))</f>
        <v/>
      </c>
      <c r="D348" s="43" t="n"/>
      <c r="E348" s="43" t="n"/>
      <c r="F348" s="44" t="n"/>
      <c r="G348" s="43" t="n"/>
      <c r="H348" s="43" t="n"/>
      <c r="I348" s="43" t="n"/>
      <c r="J348" s="43" t="n"/>
      <c r="K348" s="2" t="n"/>
      <c r="L348" s="2" t="n"/>
    </row>
    <row r="349">
      <c r="A349" s="42" t="n"/>
      <c r="B349" s="43" t="n"/>
      <c r="C349" s="5">
        <f>IF(B349="","",IFERROR(INDEX('Lista de materiales'!$C$5:$C$54,MATCH(B349,'Lista de materiales'!$A$5:$A$54,0)),"ID no existe"))</f>
        <v/>
      </c>
      <c r="D349" s="43" t="n"/>
      <c r="E349" s="43" t="n"/>
      <c r="F349" s="44" t="n"/>
      <c r="G349" s="43" t="n"/>
      <c r="H349" s="43" t="n"/>
      <c r="I349" s="43" t="n"/>
      <c r="J349" s="43" t="n"/>
      <c r="K349" s="2" t="n"/>
      <c r="L349" s="2" t="n"/>
    </row>
    <row r="350">
      <c r="A350" s="42" t="n"/>
      <c r="B350" s="43" t="n"/>
      <c r="C350" s="5">
        <f>IF(B350="","",IFERROR(INDEX('Lista de materiales'!$C$5:$C$54,MATCH(B350,'Lista de materiales'!$A$5:$A$54,0)),"ID no existe"))</f>
        <v/>
      </c>
      <c r="D350" s="43" t="n"/>
      <c r="E350" s="43" t="n"/>
      <c r="F350" s="44" t="n"/>
      <c r="G350" s="43" t="n"/>
      <c r="H350" s="43" t="n"/>
      <c r="I350" s="43" t="n"/>
      <c r="J350" s="43" t="n"/>
      <c r="K350" s="2" t="n"/>
      <c r="L350" s="2" t="n"/>
    </row>
    <row r="351">
      <c r="A351" s="42" t="n"/>
      <c r="B351" s="43" t="n"/>
      <c r="C351" s="5">
        <f>IF(B351="","",IFERROR(INDEX('Lista de materiales'!$C$5:$C$54,MATCH(B351,'Lista de materiales'!$A$5:$A$54,0)),"ID no existe"))</f>
        <v/>
      </c>
      <c r="D351" s="43" t="n"/>
      <c r="E351" s="43" t="n"/>
      <c r="F351" s="44" t="n"/>
      <c r="G351" s="43" t="n"/>
      <c r="H351" s="43" t="n"/>
      <c r="I351" s="43" t="n"/>
      <c r="J351" s="43" t="n"/>
      <c r="K351" s="2" t="n"/>
      <c r="L351" s="2" t="n"/>
    </row>
    <row r="352">
      <c r="A352" s="42" t="n"/>
      <c r="B352" s="43" t="n"/>
      <c r="C352" s="5">
        <f>IF(B352="","",IFERROR(INDEX('Lista de materiales'!$C$5:$C$54,MATCH(B352,'Lista de materiales'!$A$5:$A$54,0)),"ID no existe"))</f>
        <v/>
      </c>
      <c r="D352" s="43" t="n"/>
      <c r="E352" s="43" t="n"/>
      <c r="F352" s="44" t="n"/>
      <c r="G352" s="43" t="n"/>
      <c r="H352" s="43" t="n"/>
      <c r="I352" s="43" t="n"/>
      <c r="J352" s="43" t="n"/>
      <c r="K352" s="2" t="n"/>
      <c r="L352" s="2" t="n"/>
    </row>
    <row r="353">
      <c r="A353" s="42" t="n"/>
      <c r="B353" s="43" t="n"/>
      <c r="C353" s="5">
        <f>IF(B353="","",IFERROR(INDEX('Lista de materiales'!$C$5:$C$54,MATCH(B353,'Lista de materiales'!$A$5:$A$54,0)),"ID no existe"))</f>
        <v/>
      </c>
      <c r="D353" s="43" t="n"/>
      <c r="E353" s="43" t="n"/>
      <c r="F353" s="44" t="n"/>
      <c r="G353" s="43" t="n"/>
      <c r="H353" s="43" t="n"/>
      <c r="I353" s="43" t="n"/>
      <c r="J353" s="43" t="n"/>
      <c r="K353" s="2" t="n"/>
      <c r="L353" s="2" t="n"/>
    </row>
    <row r="354">
      <c r="A354" s="42" t="n"/>
      <c r="B354" s="43" t="n"/>
      <c r="C354" s="5">
        <f>IF(B354="","",IFERROR(INDEX('Lista de materiales'!$C$5:$C$54,MATCH(B354,'Lista de materiales'!$A$5:$A$54,0)),"ID no existe"))</f>
        <v/>
      </c>
      <c r="D354" s="43" t="n"/>
      <c r="E354" s="43" t="n"/>
      <c r="F354" s="44" t="n"/>
      <c r="G354" s="43" t="n"/>
      <c r="H354" s="43" t="n"/>
      <c r="I354" s="43" t="n"/>
      <c r="J354" s="43" t="n"/>
      <c r="K354" s="2" t="n"/>
      <c r="L354" s="2" t="n"/>
    </row>
    <row r="355">
      <c r="A355" s="42" t="n"/>
      <c r="B355" s="43" t="n"/>
      <c r="C355" s="5">
        <f>IF(B355="","",IFERROR(INDEX('Lista de materiales'!$C$5:$C$54,MATCH(B355,'Lista de materiales'!$A$5:$A$54,0)),"ID no existe"))</f>
        <v/>
      </c>
      <c r="D355" s="43" t="n"/>
      <c r="E355" s="43" t="n"/>
      <c r="F355" s="44" t="n"/>
      <c r="G355" s="43" t="n"/>
      <c r="H355" s="43" t="n"/>
      <c r="I355" s="43" t="n"/>
      <c r="J355" s="43" t="n"/>
      <c r="K355" s="2" t="n"/>
      <c r="L355" s="2" t="n"/>
    </row>
    <row r="356">
      <c r="A356" s="42" t="n"/>
      <c r="B356" s="43" t="n"/>
      <c r="C356" s="5">
        <f>IF(B356="","",IFERROR(INDEX('Lista de materiales'!$C$5:$C$54,MATCH(B356,'Lista de materiales'!$A$5:$A$54,0)),"ID no existe"))</f>
        <v/>
      </c>
      <c r="D356" s="43" t="n"/>
      <c r="E356" s="43" t="n"/>
      <c r="F356" s="44" t="n"/>
      <c r="G356" s="43" t="n"/>
      <c r="H356" s="43" t="n"/>
      <c r="I356" s="43" t="n"/>
      <c r="J356" s="43" t="n"/>
      <c r="K356" s="2" t="n"/>
      <c r="L356" s="2" t="n"/>
    </row>
    <row r="357">
      <c r="A357" s="42" t="n"/>
      <c r="B357" s="43" t="n"/>
      <c r="C357" s="5">
        <f>IF(B357="","",IFERROR(INDEX('Lista de materiales'!$C$5:$C$54,MATCH(B357,'Lista de materiales'!$A$5:$A$54,0)),"ID no existe"))</f>
        <v/>
      </c>
      <c r="D357" s="43" t="n"/>
      <c r="E357" s="43" t="n"/>
      <c r="F357" s="44" t="n"/>
      <c r="G357" s="43" t="n"/>
      <c r="H357" s="43" t="n"/>
      <c r="I357" s="43" t="n"/>
      <c r="J357" s="43" t="n"/>
      <c r="K357" s="2" t="n"/>
      <c r="L357" s="2" t="n"/>
    </row>
    <row r="358">
      <c r="A358" s="42" t="n"/>
      <c r="B358" s="43" t="n"/>
      <c r="C358" s="5">
        <f>IF(B358="","",IFERROR(INDEX('Lista de materiales'!$C$5:$C$54,MATCH(B358,'Lista de materiales'!$A$5:$A$54,0)),"ID no existe"))</f>
        <v/>
      </c>
      <c r="D358" s="43" t="n"/>
      <c r="E358" s="43" t="n"/>
      <c r="F358" s="44" t="n"/>
      <c r="G358" s="43" t="n"/>
      <c r="H358" s="43" t="n"/>
      <c r="I358" s="43" t="n"/>
      <c r="J358" s="43" t="n"/>
      <c r="K358" s="2" t="n"/>
      <c r="L358" s="2" t="n"/>
    </row>
    <row r="359">
      <c r="A359" s="42" t="n"/>
      <c r="B359" s="43" t="n"/>
      <c r="C359" s="5">
        <f>IF(B359="","",IFERROR(INDEX('Lista de materiales'!$C$5:$C$54,MATCH(B359,'Lista de materiales'!$A$5:$A$54,0)),"ID no existe"))</f>
        <v/>
      </c>
      <c r="D359" s="43" t="n"/>
      <c r="E359" s="43" t="n"/>
      <c r="F359" s="44" t="n"/>
      <c r="G359" s="43" t="n"/>
      <c r="H359" s="43" t="n"/>
      <c r="I359" s="43" t="n"/>
      <c r="J359" s="43" t="n"/>
      <c r="K359" s="2" t="n"/>
      <c r="L359" s="2" t="n"/>
    </row>
    <row r="360">
      <c r="A360" s="42" t="n"/>
      <c r="B360" s="43" t="n"/>
      <c r="C360" s="5">
        <f>IF(B360="","",IFERROR(INDEX('Lista de materiales'!$C$5:$C$54,MATCH(B360,'Lista de materiales'!$A$5:$A$54,0)),"ID no existe"))</f>
        <v/>
      </c>
      <c r="D360" s="43" t="n"/>
      <c r="E360" s="43" t="n"/>
      <c r="F360" s="44" t="n"/>
      <c r="G360" s="43" t="n"/>
      <c r="H360" s="43" t="n"/>
      <c r="I360" s="43" t="n"/>
      <c r="J360" s="43" t="n"/>
      <c r="K360" s="2" t="n"/>
      <c r="L360" s="2" t="n"/>
    </row>
    <row r="361">
      <c r="A361" s="42" t="n"/>
      <c r="B361" s="43" t="n"/>
      <c r="C361" s="5">
        <f>IF(B361="","",IFERROR(INDEX('Lista de materiales'!$C$5:$C$54,MATCH(B361,'Lista de materiales'!$A$5:$A$54,0)),"ID no existe"))</f>
        <v/>
      </c>
      <c r="D361" s="43" t="n"/>
      <c r="E361" s="43" t="n"/>
      <c r="F361" s="44" t="n"/>
      <c r="G361" s="43" t="n"/>
      <c r="H361" s="43" t="n"/>
      <c r="I361" s="43" t="n"/>
      <c r="J361" s="43" t="n"/>
      <c r="K361" s="2" t="n"/>
      <c r="L361" s="2" t="n"/>
    </row>
    <row r="362">
      <c r="A362" s="42" t="n"/>
      <c r="B362" s="43" t="n"/>
      <c r="C362" s="5">
        <f>IF(B362="","",IFERROR(INDEX('Lista de materiales'!$C$5:$C$54,MATCH(B362,'Lista de materiales'!$A$5:$A$54,0)),"ID no existe"))</f>
        <v/>
      </c>
      <c r="D362" s="43" t="n"/>
      <c r="E362" s="43" t="n"/>
      <c r="F362" s="44" t="n"/>
      <c r="G362" s="43" t="n"/>
      <c r="H362" s="43" t="n"/>
      <c r="I362" s="43" t="n"/>
      <c r="J362" s="43" t="n"/>
      <c r="K362" s="2" t="n"/>
      <c r="L362" s="2" t="n"/>
    </row>
    <row r="363">
      <c r="A363" s="42" t="n"/>
      <c r="B363" s="43" t="n"/>
      <c r="C363" s="5">
        <f>IF(B363="","",IFERROR(INDEX('Lista de materiales'!$C$5:$C$54,MATCH(B363,'Lista de materiales'!$A$5:$A$54,0)),"ID no existe"))</f>
        <v/>
      </c>
      <c r="D363" s="43" t="n"/>
      <c r="E363" s="43" t="n"/>
      <c r="F363" s="44" t="n"/>
      <c r="G363" s="43" t="n"/>
      <c r="H363" s="43" t="n"/>
      <c r="I363" s="43" t="n"/>
      <c r="J363" s="43" t="n"/>
      <c r="K363" s="2" t="n"/>
      <c r="L363" s="2" t="n"/>
    </row>
    <row r="364">
      <c r="A364" s="42" t="n"/>
      <c r="B364" s="43" t="n"/>
      <c r="C364" s="5">
        <f>IF(B364="","",IFERROR(INDEX('Lista de materiales'!$C$5:$C$54,MATCH(B364,'Lista de materiales'!$A$5:$A$54,0)),"ID no existe"))</f>
        <v/>
      </c>
      <c r="D364" s="43" t="n"/>
      <c r="E364" s="43" t="n"/>
      <c r="F364" s="44" t="n"/>
      <c r="G364" s="43" t="n"/>
      <c r="H364" s="43" t="n"/>
      <c r="I364" s="43" t="n"/>
      <c r="J364" s="43" t="n"/>
      <c r="K364" s="2" t="n"/>
      <c r="L364" s="2" t="n"/>
    </row>
    <row r="365">
      <c r="A365" s="42" t="n"/>
      <c r="B365" s="43" t="n"/>
      <c r="C365" s="5">
        <f>IF(B365="","",IFERROR(INDEX('Lista de materiales'!$C$5:$C$54,MATCH(B365,'Lista de materiales'!$A$5:$A$54,0)),"ID no existe"))</f>
        <v/>
      </c>
      <c r="D365" s="43" t="n"/>
      <c r="E365" s="43" t="n"/>
      <c r="F365" s="44" t="n"/>
      <c r="G365" s="43" t="n"/>
      <c r="H365" s="43" t="n"/>
      <c r="I365" s="43" t="n"/>
      <c r="J365" s="43" t="n"/>
      <c r="K365" s="2" t="n"/>
      <c r="L365" s="2" t="n"/>
    </row>
    <row r="366">
      <c r="A366" s="42" t="n"/>
      <c r="B366" s="43" t="n"/>
      <c r="C366" s="5">
        <f>IF(B366="","",IFERROR(INDEX('Lista de materiales'!$C$5:$C$54,MATCH(B366,'Lista de materiales'!$A$5:$A$54,0)),"ID no existe"))</f>
        <v/>
      </c>
      <c r="D366" s="43" t="n"/>
      <c r="E366" s="43" t="n"/>
      <c r="F366" s="44" t="n"/>
      <c r="G366" s="43" t="n"/>
      <c r="H366" s="43" t="n"/>
      <c r="I366" s="43" t="n"/>
      <c r="J366" s="43" t="n"/>
      <c r="K366" s="2" t="n"/>
      <c r="L366" s="2" t="n"/>
    </row>
    <row r="367">
      <c r="A367" s="42" t="n"/>
      <c r="B367" s="43" t="n"/>
      <c r="C367" s="5">
        <f>IF(B367="","",IFERROR(INDEX('Lista de materiales'!$C$5:$C$54,MATCH(B367,'Lista de materiales'!$A$5:$A$54,0)),"ID no existe"))</f>
        <v/>
      </c>
      <c r="D367" s="43" t="n"/>
      <c r="E367" s="43" t="n"/>
      <c r="F367" s="44" t="n"/>
      <c r="G367" s="43" t="n"/>
      <c r="H367" s="43" t="n"/>
      <c r="I367" s="43" t="n"/>
      <c r="J367" s="43" t="n"/>
      <c r="K367" s="2" t="n"/>
      <c r="L367" s="2" t="n"/>
    </row>
    <row r="368">
      <c r="A368" s="42" t="n"/>
      <c r="B368" s="43" t="n"/>
      <c r="C368" s="5">
        <f>IF(B368="","",IFERROR(INDEX('Lista de materiales'!$C$5:$C$54,MATCH(B368,'Lista de materiales'!$A$5:$A$54,0)),"ID no existe"))</f>
        <v/>
      </c>
      <c r="D368" s="43" t="n"/>
      <c r="E368" s="43" t="n"/>
      <c r="F368" s="44" t="n"/>
      <c r="G368" s="43" t="n"/>
      <c r="H368" s="43" t="n"/>
      <c r="I368" s="43" t="n"/>
      <c r="J368" s="43" t="n"/>
      <c r="K368" s="2" t="n"/>
      <c r="L368" s="2" t="n"/>
    </row>
    <row r="369">
      <c r="A369" s="42" t="n"/>
      <c r="B369" s="43" t="n"/>
      <c r="C369" s="5">
        <f>IF(B369="","",IFERROR(INDEX('Lista de materiales'!$C$5:$C$54,MATCH(B369,'Lista de materiales'!$A$5:$A$54,0)),"ID no existe"))</f>
        <v/>
      </c>
      <c r="D369" s="43" t="n"/>
      <c r="E369" s="43" t="n"/>
      <c r="F369" s="44" t="n"/>
      <c r="G369" s="43" t="n"/>
      <c r="H369" s="43" t="n"/>
      <c r="I369" s="43" t="n"/>
      <c r="J369" s="43" t="n"/>
      <c r="K369" s="2" t="n"/>
      <c r="L369" s="2" t="n"/>
    </row>
    <row r="370">
      <c r="A370" s="42" t="n"/>
      <c r="B370" s="43" t="n"/>
      <c r="C370" s="5">
        <f>IF(B370="","",IFERROR(INDEX('Lista de materiales'!$C$5:$C$54,MATCH(B370,'Lista de materiales'!$A$5:$A$54,0)),"ID no existe"))</f>
        <v/>
      </c>
      <c r="D370" s="43" t="n"/>
      <c r="E370" s="43" t="n"/>
      <c r="F370" s="44" t="n"/>
      <c r="G370" s="43" t="n"/>
      <c r="H370" s="43" t="n"/>
      <c r="I370" s="43" t="n"/>
      <c r="J370" s="43" t="n"/>
      <c r="K370" s="2" t="n"/>
      <c r="L370" s="2" t="n"/>
    </row>
    <row r="371">
      <c r="A371" s="42" t="n"/>
      <c r="B371" s="43" t="n"/>
      <c r="C371" s="5">
        <f>IF(B371="","",IFERROR(INDEX('Lista de materiales'!$C$5:$C$54,MATCH(B371,'Lista de materiales'!$A$5:$A$54,0)),"ID no existe"))</f>
        <v/>
      </c>
      <c r="D371" s="43" t="n"/>
      <c r="E371" s="43" t="n"/>
      <c r="F371" s="44" t="n"/>
      <c r="G371" s="43" t="n"/>
      <c r="H371" s="43" t="n"/>
      <c r="I371" s="43" t="n"/>
      <c r="J371" s="43" t="n"/>
      <c r="K371" s="2" t="n"/>
      <c r="L371" s="2" t="n"/>
    </row>
    <row r="372">
      <c r="A372" s="42" t="n"/>
      <c r="B372" s="43" t="n"/>
      <c r="C372" s="5">
        <f>IF(B372="","",IFERROR(INDEX('Lista de materiales'!$C$5:$C$54,MATCH(B372,'Lista de materiales'!$A$5:$A$54,0)),"ID no existe"))</f>
        <v/>
      </c>
      <c r="D372" s="43" t="n"/>
      <c r="E372" s="43" t="n"/>
      <c r="F372" s="44" t="n"/>
      <c r="G372" s="43" t="n"/>
      <c r="H372" s="43" t="n"/>
      <c r="I372" s="43" t="n"/>
      <c r="J372" s="43" t="n"/>
      <c r="K372" s="2" t="n"/>
      <c r="L372" s="2" t="n"/>
    </row>
    <row r="373">
      <c r="A373" s="42" t="n"/>
      <c r="B373" s="43" t="n"/>
      <c r="C373" s="5">
        <f>IF(B373="","",IFERROR(INDEX('Lista de materiales'!$C$5:$C$54,MATCH(B373,'Lista de materiales'!$A$5:$A$54,0)),"ID no existe"))</f>
        <v/>
      </c>
      <c r="D373" s="43" t="n"/>
      <c r="E373" s="43" t="n"/>
      <c r="F373" s="44" t="n"/>
      <c r="G373" s="43" t="n"/>
      <c r="H373" s="43" t="n"/>
      <c r="I373" s="43" t="n"/>
      <c r="J373" s="43" t="n"/>
      <c r="K373" s="2" t="n"/>
      <c r="L373" s="2" t="n"/>
    </row>
    <row r="374">
      <c r="A374" s="42" t="n"/>
      <c r="B374" s="43" t="n"/>
      <c r="C374" s="5">
        <f>IF(B374="","",IFERROR(INDEX('Lista de materiales'!$C$5:$C$54,MATCH(B374,'Lista de materiales'!$A$5:$A$54,0)),"ID no existe"))</f>
        <v/>
      </c>
      <c r="D374" s="43" t="n"/>
      <c r="E374" s="43" t="n"/>
      <c r="F374" s="44" t="n"/>
      <c r="G374" s="43" t="n"/>
      <c r="H374" s="43" t="n"/>
      <c r="I374" s="43" t="n"/>
      <c r="J374" s="43" t="n"/>
      <c r="K374" s="2" t="n"/>
      <c r="L374" s="2" t="n"/>
    </row>
    <row r="375">
      <c r="A375" s="42" t="n"/>
      <c r="B375" s="43" t="n"/>
      <c r="C375" s="5">
        <f>IF(B375="","",IFERROR(INDEX('Lista de materiales'!$C$5:$C$54,MATCH(B375,'Lista de materiales'!$A$5:$A$54,0)),"ID no existe"))</f>
        <v/>
      </c>
      <c r="D375" s="43" t="n"/>
      <c r="E375" s="43" t="n"/>
      <c r="F375" s="44" t="n"/>
      <c r="G375" s="43" t="n"/>
      <c r="H375" s="43" t="n"/>
      <c r="I375" s="43" t="n"/>
      <c r="J375" s="43" t="n"/>
      <c r="K375" s="2" t="n"/>
      <c r="L375" s="2" t="n"/>
    </row>
    <row r="376">
      <c r="A376" s="42" t="n"/>
      <c r="B376" s="43" t="n"/>
      <c r="C376" s="5">
        <f>IF(B376="","",IFERROR(INDEX('Lista de materiales'!$C$5:$C$54,MATCH(B376,'Lista de materiales'!$A$5:$A$54,0)),"ID no existe"))</f>
        <v/>
      </c>
      <c r="D376" s="43" t="n"/>
      <c r="E376" s="43" t="n"/>
      <c r="F376" s="44" t="n"/>
      <c r="G376" s="43" t="n"/>
      <c r="H376" s="43" t="n"/>
      <c r="I376" s="43" t="n"/>
      <c r="J376" s="43" t="n"/>
      <c r="K376" s="2" t="n"/>
      <c r="L376" s="2" t="n"/>
    </row>
    <row r="377">
      <c r="A377" s="42" t="n"/>
      <c r="B377" s="43" t="n"/>
      <c r="C377" s="5">
        <f>IF(B377="","",IFERROR(INDEX('Lista de materiales'!$C$5:$C$54,MATCH(B377,'Lista de materiales'!$A$5:$A$54,0)),"ID no existe"))</f>
        <v/>
      </c>
      <c r="D377" s="43" t="n"/>
      <c r="E377" s="43" t="n"/>
      <c r="F377" s="44" t="n"/>
      <c r="G377" s="43" t="n"/>
      <c r="H377" s="43" t="n"/>
      <c r="I377" s="43" t="n"/>
      <c r="J377" s="43" t="n"/>
      <c r="K377" s="2" t="n"/>
      <c r="L377" s="2" t="n"/>
    </row>
    <row r="378">
      <c r="A378" s="42" t="n"/>
      <c r="B378" s="43" t="n"/>
      <c r="C378" s="5">
        <f>IF(B378="","",IFERROR(INDEX('Lista de materiales'!$C$5:$C$54,MATCH(B378,'Lista de materiales'!$A$5:$A$54,0)),"ID no existe"))</f>
        <v/>
      </c>
      <c r="D378" s="43" t="n"/>
      <c r="E378" s="43" t="n"/>
      <c r="F378" s="44" t="n"/>
      <c r="G378" s="43" t="n"/>
      <c r="H378" s="43" t="n"/>
      <c r="I378" s="43" t="n"/>
      <c r="J378" s="43" t="n"/>
      <c r="K378" s="2" t="n"/>
      <c r="L378" s="2" t="n"/>
    </row>
    <row r="379">
      <c r="A379" s="42" t="n"/>
      <c r="B379" s="43" t="n"/>
      <c r="C379" s="5">
        <f>IF(B379="","",IFERROR(INDEX('Lista de materiales'!$C$5:$C$54,MATCH(B379,'Lista de materiales'!$A$5:$A$54,0)),"ID no existe"))</f>
        <v/>
      </c>
      <c r="D379" s="43" t="n"/>
      <c r="E379" s="43" t="n"/>
      <c r="F379" s="44" t="n"/>
      <c r="G379" s="43" t="n"/>
      <c r="H379" s="43" t="n"/>
      <c r="I379" s="43" t="n"/>
      <c r="J379" s="43" t="n"/>
      <c r="K379" s="2" t="n"/>
      <c r="L379" s="2" t="n"/>
    </row>
    <row r="380">
      <c r="A380" s="42" t="n"/>
      <c r="B380" s="43" t="n"/>
      <c r="C380" s="5">
        <f>IF(B380="","",IFERROR(INDEX('Lista de materiales'!$C$5:$C$54,MATCH(B380,'Lista de materiales'!$A$5:$A$54,0)),"ID no existe"))</f>
        <v/>
      </c>
      <c r="D380" s="43" t="n"/>
      <c r="E380" s="43" t="n"/>
      <c r="F380" s="44" t="n"/>
      <c r="G380" s="43" t="n"/>
      <c r="H380" s="43" t="n"/>
      <c r="I380" s="43" t="n"/>
      <c r="J380" s="43" t="n"/>
      <c r="K380" s="2" t="n"/>
      <c r="L380" s="2" t="n"/>
    </row>
    <row r="381">
      <c r="A381" s="42" t="n"/>
      <c r="B381" s="43" t="n"/>
      <c r="C381" s="5">
        <f>IF(B381="","",IFERROR(INDEX('Lista de materiales'!$C$5:$C$54,MATCH(B381,'Lista de materiales'!$A$5:$A$54,0)),"ID no existe"))</f>
        <v/>
      </c>
      <c r="D381" s="43" t="n"/>
      <c r="E381" s="43" t="n"/>
      <c r="F381" s="44" t="n"/>
      <c r="G381" s="43" t="n"/>
      <c r="H381" s="43" t="n"/>
      <c r="I381" s="43" t="n"/>
      <c r="J381" s="43" t="n"/>
      <c r="K381" s="2" t="n"/>
      <c r="L381" s="2" t="n"/>
    </row>
    <row r="382">
      <c r="A382" s="42" t="n"/>
      <c r="B382" s="43" t="n"/>
      <c r="C382" s="5">
        <f>IF(B382="","",IFERROR(INDEX('Lista de materiales'!$C$5:$C$54,MATCH(B382,'Lista de materiales'!$A$5:$A$54,0)),"ID no existe"))</f>
        <v/>
      </c>
      <c r="D382" s="43" t="n"/>
      <c r="E382" s="43" t="n"/>
      <c r="F382" s="44" t="n"/>
      <c r="G382" s="43" t="n"/>
      <c r="H382" s="43" t="n"/>
      <c r="I382" s="43" t="n"/>
      <c r="J382" s="43" t="n"/>
      <c r="K382" s="2" t="n"/>
      <c r="L382" s="2" t="n"/>
    </row>
    <row r="383">
      <c r="A383" s="42" t="n"/>
      <c r="B383" s="43" t="n"/>
      <c r="C383" s="5">
        <f>IF(B383="","",IFERROR(INDEX('Lista de materiales'!$C$5:$C$54,MATCH(B383,'Lista de materiales'!$A$5:$A$54,0)),"ID no existe"))</f>
        <v/>
      </c>
      <c r="D383" s="43" t="n"/>
      <c r="E383" s="43" t="n"/>
      <c r="F383" s="44" t="n"/>
      <c r="G383" s="43" t="n"/>
      <c r="H383" s="43" t="n"/>
      <c r="I383" s="43" t="n"/>
      <c r="J383" s="43" t="n"/>
      <c r="K383" s="2" t="n"/>
      <c r="L383" s="2" t="n"/>
    </row>
    <row r="384">
      <c r="A384" s="42" t="n"/>
      <c r="B384" s="43" t="n"/>
      <c r="C384" s="5">
        <f>IF(B384="","",IFERROR(INDEX('Lista de materiales'!$C$5:$C$54,MATCH(B384,'Lista de materiales'!$A$5:$A$54,0)),"ID no existe"))</f>
        <v/>
      </c>
      <c r="D384" s="43" t="n"/>
      <c r="E384" s="43" t="n"/>
      <c r="F384" s="44" t="n"/>
      <c r="G384" s="43" t="n"/>
      <c r="H384" s="43" t="n"/>
      <c r="I384" s="43" t="n"/>
      <c r="J384" s="43" t="n"/>
      <c r="K384" s="2" t="n"/>
      <c r="L384" s="2" t="n"/>
    </row>
    <row r="385">
      <c r="A385" s="42" t="n"/>
      <c r="B385" s="43" t="n"/>
      <c r="C385" s="5">
        <f>IF(B385="","",IFERROR(INDEX('Lista de materiales'!$C$5:$C$54,MATCH(B385,'Lista de materiales'!$A$5:$A$54,0)),"ID no existe"))</f>
        <v/>
      </c>
      <c r="D385" s="43" t="n"/>
      <c r="E385" s="43" t="n"/>
      <c r="F385" s="44" t="n"/>
      <c r="G385" s="43" t="n"/>
      <c r="H385" s="43" t="n"/>
      <c r="I385" s="43" t="n"/>
      <c r="J385" s="43" t="n"/>
      <c r="K385" s="2" t="n"/>
      <c r="L385" s="2" t="n"/>
    </row>
    <row r="386">
      <c r="A386" s="42" t="n"/>
      <c r="B386" s="43" t="n"/>
      <c r="C386" s="5">
        <f>IF(B386="","",IFERROR(INDEX('Lista de materiales'!$C$5:$C$54,MATCH(B386,'Lista de materiales'!$A$5:$A$54,0)),"ID no existe"))</f>
        <v/>
      </c>
      <c r="D386" s="43" t="n"/>
      <c r="E386" s="43" t="n"/>
      <c r="F386" s="44" t="n"/>
      <c r="G386" s="43" t="n"/>
      <c r="H386" s="43" t="n"/>
      <c r="I386" s="43" t="n"/>
      <c r="J386" s="43" t="n"/>
      <c r="K386" s="2" t="n"/>
      <c r="L386" s="2" t="n"/>
    </row>
    <row r="387">
      <c r="A387" s="42" t="n"/>
      <c r="B387" s="43" t="n"/>
      <c r="C387" s="5">
        <f>IF(B387="","",IFERROR(INDEX('Lista de materiales'!$C$5:$C$54,MATCH(B387,'Lista de materiales'!$A$5:$A$54,0)),"ID no existe"))</f>
        <v/>
      </c>
      <c r="D387" s="43" t="n"/>
      <c r="E387" s="43" t="n"/>
      <c r="F387" s="44" t="n"/>
      <c r="G387" s="43" t="n"/>
      <c r="H387" s="43" t="n"/>
      <c r="I387" s="43" t="n"/>
      <c r="J387" s="43" t="n"/>
      <c r="K387" s="2" t="n"/>
      <c r="L387" s="2" t="n"/>
    </row>
    <row r="388">
      <c r="A388" s="42" t="n"/>
      <c r="B388" s="43" t="n"/>
      <c r="C388" s="5">
        <f>IF(B388="","",IFERROR(INDEX('Lista de materiales'!$C$5:$C$54,MATCH(B388,'Lista de materiales'!$A$5:$A$54,0)),"ID no existe"))</f>
        <v/>
      </c>
      <c r="D388" s="43" t="n"/>
      <c r="E388" s="43" t="n"/>
      <c r="F388" s="44" t="n"/>
      <c r="G388" s="43" t="n"/>
      <c r="H388" s="43" t="n"/>
      <c r="I388" s="43" t="n"/>
      <c r="J388" s="43" t="n"/>
      <c r="K388" s="2" t="n"/>
      <c r="L388" s="2" t="n"/>
    </row>
    <row r="389">
      <c r="A389" s="42" t="n"/>
      <c r="B389" s="43" t="n"/>
      <c r="C389" s="5">
        <f>IF(B389="","",IFERROR(INDEX('Lista de materiales'!$C$5:$C$54,MATCH(B389,'Lista de materiales'!$A$5:$A$54,0)),"ID no existe"))</f>
        <v/>
      </c>
      <c r="D389" s="43" t="n"/>
      <c r="E389" s="43" t="n"/>
      <c r="F389" s="44" t="n"/>
      <c r="G389" s="43" t="n"/>
      <c r="H389" s="43" t="n"/>
      <c r="I389" s="43" t="n"/>
      <c r="J389" s="43" t="n"/>
      <c r="K389" s="2" t="n"/>
      <c r="L389" s="2" t="n"/>
    </row>
    <row r="390">
      <c r="A390" s="42" t="n"/>
      <c r="B390" s="43" t="n"/>
      <c r="C390" s="5">
        <f>IF(B390="","",IFERROR(INDEX('Lista de materiales'!$C$5:$C$54,MATCH(B390,'Lista de materiales'!$A$5:$A$54,0)),"ID no existe"))</f>
        <v/>
      </c>
      <c r="D390" s="43" t="n"/>
      <c r="E390" s="43" t="n"/>
      <c r="F390" s="44" t="n"/>
      <c r="G390" s="43" t="n"/>
      <c r="H390" s="43" t="n"/>
      <c r="I390" s="43" t="n"/>
      <c r="J390" s="43" t="n"/>
      <c r="K390" s="2" t="n"/>
      <c r="L390" s="2" t="n"/>
    </row>
    <row r="391">
      <c r="A391" s="42" t="n"/>
      <c r="B391" s="43" t="n"/>
      <c r="C391" s="5">
        <f>IF(B391="","",IFERROR(INDEX('Lista de materiales'!$C$5:$C$54,MATCH(B391,'Lista de materiales'!$A$5:$A$54,0)),"ID no existe"))</f>
        <v/>
      </c>
      <c r="D391" s="43" t="n"/>
      <c r="E391" s="43" t="n"/>
      <c r="F391" s="44" t="n"/>
      <c r="G391" s="43" t="n"/>
      <c r="H391" s="43" t="n"/>
      <c r="I391" s="43" t="n"/>
      <c r="J391" s="43" t="n"/>
      <c r="K391" s="2" t="n"/>
      <c r="L391" s="2" t="n"/>
    </row>
    <row r="392">
      <c r="A392" s="42" t="n"/>
      <c r="B392" s="43" t="n"/>
      <c r="C392" s="5">
        <f>IF(B392="","",IFERROR(INDEX('Lista de materiales'!$C$5:$C$54,MATCH(B392,'Lista de materiales'!$A$5:$A$54,0)),"ID no existe"))</f>
        <v/>
      </c>
      <c r="D392" s="43" t="n"/>
      <c r="E392" s="43" t="n"/>
      <c r="F392" s="44" t="n"/>
      <c r="G392" s="43" t="n"/>
      <c r="H392" s="43" t="n"/>
      <c r="I392" s="43" t="n"/>
      <c r="J392" s="43" t="n"/>
      <c r="K392" s="2" t="n"/>
      <c r="L392" s="2" t="n"/>
    </row>
    <row r="393">
      <c r="A393" s="42" t="n"/>
      <c r="B393" s="43" t="n"/>
      <c r="C393" s="5">
        <f>IF(B393="","",IFERROR(INDEX('Lista de materiales'!$C$5:$C$54,MATCH(B393,'Lista de materiales'!$A$5:$A$54,0)),"ID no existe"))</f>
        <v/>
      </c>
      <c r="D393" s="43" t="n"/>
      <c r="E393" s="43" t="n"/>
      <c r="F393" s="44" t="n"/>
      <c r="G393" s="43" t="n"/>
      <c r="H393" s="43" t="n"/>
      <c r="I393" s="43" t="n"/>
      <c r="J393" s="43" t="n"/>
      <c r="K393" s="2" t="n"/>
      <c r="L393" s="2" t="n"/>
    </row>
    <row r="394">
      <c r="A394" s="42" t="n"/>
      <c r="B394" s="43" t="n"/>
      <c r="C394" s="5">
        <f>IF(B394="","",IFERROR(INDEX('Lista de materiales'!$C$5:$C$54,MATCH(B394,'Lista de materiales'!$A$5:$A$54,0)),"ID no existe"))</f>
        <v/>
      </c>
      <c r="D394" s="43" t="n"/>
      <c r="E394" s="43" t="n"/>
      <c r="F394" s="44" t="n"/>
      <c r="G394" s="43" t="n"/>
      <c r="H394" s="43" t="n"/>
      <c r="I394" s="43" t="n"/>
      <c r="J394" s="43" t="n"/>
      <c r="K394" s="2" t="n"/>
      <c r="L394" s="2" t="n"/>
    </row>
    <row r="395">
      <c r="A395" s="42" t="n"/>
      <c r="B395" s="43" t="n"/>
      <c r="C395" s="5">
        <f>IF(B395="","",IFERROR(INDEX('Lista de materiales'!$C$5:$C$54,MATCH(B395,'Lista de materiales'!$A$5:$A$54,0)),"ID no existe"))</f>
        <v/>
      </c>
      <c r="D395" s="43" t="n"/>
      <c r="E395" s="43" t="n"/>
      <c r="F395" s="44" t="n"/>
      <c r="G395" s="43" t="n"/>
      <c r="H395" s="43" t="n"/>
      <c r="I395" s="43" t="n"/>
      <c r="J395" s="43" t="n"/>
      <c r="K395" s="2" t="n"/>
      <c r="L395" s="2" t="n"/>
    </row>
    <row r="396">
      <c r="A396" s="42" t="n"/>
      <c r="B396" s="43" t="n"/>
      <c r="C396" s="5">
        <f>IF(B396="","",IFERROR(INDEX('Lista de materiales'!$C$5:$C$54,MATCH(B396,'Lista de materiales'!$A$5:$A$54,0)),"ID no existe"))</f>
        <v/>
      </c>
      <c r="D396" s="43" t="n"/>
      <c r="E396" s="43" t="n"/>
      <c r="F396" s="44" t="n"/>
      <c r="G396" s="43" t="n"/>
      <c r="H396" s="43" t="n"/>
      <c r="I396" s="43" t="n"/>
      <c r="J396" s="43" t="n"/>
      <c r="K396" s="2" t="n"/>
      <c r="L396" s="2" t="n"/>
    </row>
    <row r="397">
      <c r="A397" s="42" t="n"/>
      <c r="B397" s="43" t="n"/>
      <c r="C397" s="5">
        <f>IF(B397="","",IFERROR(INDEX('Lista de materiales'!$C$5:$C$54,MATCH(B397,'Lista de materiales'!$A$5:$A$54,0)),"ID no existe"))</f>
        <v/>
      </c>
      <c r="D397" s="43" t="n"/>
      <c r="E397" s="43" t="n"/>
      <c r="F397" s="44" t="n"/>
      <c r="G397" s="43" t="n"/>
      <c r="H397" s="43" t="n"/>
      <c r="I397" s="43" t="n"/>
      <c r="J397" s="43" t="n"/>
      <c r="K397" s="2" t="n"/>
      <c r="L397" s="2" t="n"/>
    </row>
    <row r="398">
      <c r="A398" s="42" t="n"/>
      <c r="B398" s="43" t="n"/>
      <c r="C398" s="5">
        <f>IF(B398="","",IFERROR(INDEX('Lista de materiales'!$C$5:$C$54,MATCH(B398,'Lista de materiales'!$A$5:$A$54,0)),"ID no existe"))</f>
        <v/>
      </c>
      <c r="D398" s="43" t="n"/>
      <c r="E398" s="43" t="n"/>
      <c r="F398" s="44" t="n"/>
      <c r="G398" s="43" t="n"/>
      <c r="H398" s="43" t="n"/>
      <c r="I398" s="43" t="n"/>
      <c r="J398" s="43" t="n"/>
      <c r="K398" s="2" t="n"/>
      <c r="L398" s="2" t="n"/>
    </row>
    <row r="399">
      <c r="A399" s="42" t="n"/>
      <c r="B399" s="43" t="n"/>
      <c r="C399" s="5">
        <f>IF(B399="","",IFERROR(INDEX('Lista de materiales'!$C$5:$C$54,MATCH(B399,'Lista de materiales'!$A$5:$A$54,0)),"ID no existe"))</f>
        <v/>
      </c>
      <c r="D399" s="43" t="n"/>
      <c r="E399" s="43" t="n"/>
      <c r="F399" s="44" t="n"/>
      <c r="G399" s="43" t="n"/>
      <c r="H399" s="43" t="n"/>
      <c r="I399" s="43" t="n"/>
      <c r="J399" s="43" t="n"/>
      <c r="K399" s="2" t="n"/>
      <c r="L399" s="2" t="n"/>
    </row>
    <row r="400">
      <c r="A400" s="42" t="n"/>
      <c r="B400" s="43" t="n"/>
      <c r="C400" s="5">
        <f>IF(B400="","",IFERROR(INDEX('Lista de materiales'!$C$5:$C$54,MATCH(B400,'Lista de materiales'!$A$5:$A$54,0)),"ID no existe"))</f>
        <v/>
      </c>
      <c r="D400" s="43" t="n"/>
      <c r="E400" s="43" t="n"/>
      <c r="F400" s="44" t="n"/>
      <c r="G400" s="43" t="n"/>
      <c r="H400" s="43" t="n"/>
      <c r="I400" s="43" t="n"/>
      <c r="J400" s="43" t="n"/>
      <c r="K400" s="2" t="n"/>
      <c r="L400" s="2" t="n"/>
    </row>
  </sheetData>
  <mergeCells count="1">
    <mergeCell ref="A2:J2"/>
  </mergeCells>
  <dataValidations count="3">
    <dataValidation sqref="B10:B400" showDropDown="0" showInputMessage="0" showErrorMessage="0" allowBlank="1" type="list">
      <formula1>'Lista de materiales'!$A$5:$A$54</formula1>
    </dataValidation>
    <dataValidation sqref="G10:G400" showDropDown="0" showInputMessage="0" showErrorMessage="0" allowBlank="1" type="list">
      <formula1>Miembros</formula1>
    </dataValidation>
    <dataValidation sqref="H10:H400" showDropDown="0" showInputMessage="0" showErrorMessage="0" allowBlank="1" type="list">
      <formula1>"Efectivo,Tarjeta,Transferencia,Otro"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showGridLines="0" workbookViewId="0">
      <pane xSplit="2" ySplit="12" topLeftCell="C13" activePane="bottomRight" state="frozen"/>
      <selection pane="topRight"/>
      <selection pane="bottomLeft"/>
      <selection pane="bottomRight" activeCell="A1" sqref="A1"/>
    </sheetView>
  </sheetViews>
  <sheetFormatPr baseColWidth="8" defaultRowHeight="15"/>
  <cols>
    <col width="5" customWidth="1" min="1" max="1"/>
    <col width="44" customWidth="1" min="2" max="2"/>
    <col width="16" customWidth="1" min="3" max="3"/>
    <col width="7" customWidth="1" min="4" max="4"/>
    <col width="12" customWidth="1" min="5" max="5"/>
    <col width="11" customWidth="1" min="6" max="6"/>
    <col width="12" customWidth="1" min="7" max="7"/>
    <col width="10" customWidth="1" min="8" max="8"/>
    <col width="11" customWidth="1" min="9" max="9"/>
    <col width="13" customWidth="1" min="10" max="10"/>
    <col width="16" customWidth="1" min="11" max="11"/>
    <col width="13" customWidth="1" min="12" max="12"/>
    <col width="48" customWidth="1" min="13" max="13"/>
  </cols>
  <sheetData>
    <row r="1">
      <c r="A1" s="19" t="inlineStr">
        <is>
          <t>Impresión 3D</t>
        </is>
      </c>
      <c r="B1" s="2" t="n"/>
      <c r="C1" s="2" t="n"/>
      <c r="D1" s="2" t="n"/>
      <c r="E1" s="2" t="n"/>
      <c r="F1" s="2" t="n"/>
      <c r="G1" s="2" t="n"/>
      <c r="H1" s="2" t="n"/>
      <c r="I1" s="2" t="n"/>
      <c r="J1" s="2" t="n"/>
      <c r="K1" s="2" t="n"/>
      <c r="L1" s="2" t="n"/>
      <c r="M1" s="2" t="n"/>
    </row>
    <row r="2">
      <c r="A2" s="45" t="inlineStr">
        <is>
          <t>Gramos estimados con el volumen real de cada STL: paredes y techos de 1.1 mm sólidos + 25 % de relleno, PLA 1.24 g/cm³. Las poleas GT2 se imprimen (el artículo usa PLA normal). Las piezas de la pinza original no se imprimen.</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4" t="inlineStr">
        <is>
          <t>Gramos estimados</t>
        </is>
      </c>
      <c r="B4" s="46">
        <f>SUM(G13:G41)</f>
        <v/>
      </c>
      <c r="C4" s="2" t="n"/>
      <c r="D4" s="2" t="n"/>
      <c r="E4" s="2" t="n"/>
      <c r="F4" s="2" t="n"/>
      <c r="G4" s="2" t="n"/>
      <c r="H4" s="2" t="n"/>
      <c r="I4" s="2" t="n"/>
      <c r="J4" s="2" t="n"/>
      <c r="K4" s="2" t="n"/>
      <c r="L4" s="2" t="n"/>
      <c r="M4" s="2" t="n"/>
    </row>
    <row r="5">
      <c r="A5" s="4" t="inlineStr">
        <is>
          <t>Gramos con merma</t>
        </is>
      </c>
      <c r="B5" s="46">
        <f>B4*(1+MermaImpresion)</f>
        <v/>
      </c>
      <c r="C5" s="2" t="n"/>
      <c r="D5" s="2" t="n"/>
      <c r="E5" s="2" t="n"/>
      <c r="F5" s="2" t="n"/>
      <c r="G5" s="2" t="n"/>
      <c r="H5" s="2" t="n"/>
      <c r="I5" s="2" t="n"/>
      <c r="J5" s="2" t="n"/>
      <c r="K5" s="2" t="n"/>
      <c r="L5" s="2" t="n"/>
      <c r="M5" s="2" t="n"/>
    </row>
    <row r="6">
      <c r="A6" s="4" t="inlineStr">
        <is>
          <t>Rollos de 1 kg a comprar</t>
        </is>
      </c>
      <c r="B6" s="47">
        <f>ROUNDUP(B5/GramosRollo,0)</f>
        <v/>
      </c>
      <c r="C6" s="7" t="inlineStr">
        <is>
          <t>← lo lee VAR-01 (filamento) en la lista de materiales</t>
        </is>
      </c>
      <c r="D6" s="2" t="n"/>
      <c r="E6" s="2" t="n"/>
      <c r="F6" s="2" t="n"/>
      <c r="G6" s="2" t="n"/>
      <c r="H6" s="2" t="n"/>
      <c r="I6" s="2" t="n"/>
      <c r="J6" s="2" t="n"/>
      <c r="K6" s="2" t="n"/>
      <c r="L6" s="2" t="n"/>
      <c r="M6" s="2" t="n"/>
    </row>
    <row r="7">
      <c r="A7" s="4" t="inlineStr">
        <is>
          <t>Horas de impresión</t>
        </is>
      </c>
      <c r="B7" s="48">
        <f>SUM(I13:I41)</f>
        <v/>
      </c>
      <c r="C7" s="2" t="n"/>
      <c r="D7" s="2" t="n"/>
      <c r="E7" s="2" t="n"/>
      <c r="F7" s="2" t="n"/>
      <c r="G7" s="2" t="n"/>
      <c r="H7" s="2" t="n"/>
      <c r="I7" s="2" t="n"/>
      <c r="J7" s="2" t="n"/>
      <c r="K7" s="2" t="n"/>
      <c r="L7" s="2" t="n"/>
      <c r="M7" s="2" t="n"/>
    </row>
    <row r="8">
      <c r="A8" s="4" t="inlineStr">
        <is>
          <t>Avance (gramos impresos)</t>
        </is>
      </c>
      <c r="B8" s="49">
        <f>IF(B4&gt;0,SUMIFS(G13:G41,J13:J41,"Impreso")/B4,0)</f>
        <v/>
      </c>
      <c r="C8" s="2" t="n"/>
      <c r="D8" s="2" t="n"/>
      <c r="E8" s="2" t="n"/>
      <c r="F8" s="2" t="n"/>
      <c r="G8" s="2" t="n"/>
      <c r="H8" s="2" t="n"/>
      <c r="I8" s="2" t="n"/>
      <c r="J8" s="2" t="n"/>
      <c r="K8" s="2" t="n"/>
      <c r="L8" s="2" t="n"/>
      <c r="M8" s="2" t="n"/>
    </row>
    <row r="9">
      <c r="A9" s="4" t="inlineStr">
        <is>
          <t>Costo del filamento (USD)</t>
        </is>
      </c>
      <c r="B9" s="50">
        <f>IF('Lista de materiales'!$U$50="Ya lo tenemos",0,'Lista de materiales'!$T$50)</f>
        <v/>
      </c>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51" t="inlineStr">
        <is>
          <t>#</t>
        </is>
      </c>
      <c r="B12" s="51" t="inlineStr">
        <is>
          <t>Pieza (STL)</t>
        </is>
      </c>
      <c r="C12" s="51" t="inlineStr">
        <is>
          <t>Subconjunto</t>
        </is>
      </c>
      <c r="D12" s="51" t="inlineStr">
        <is>
          <t>Cant.</t>
        </is>
      </c>
      <c r="E12" s="51" t="inlineStr">
        <is>
          <t>Volumen sólido (cm³)</t>
        </is>
      </c>
      <c r="F12" s="51" t="inlineStr">
        <is>
          <t>Gramos c/u</t>
        </is>
      </c>
      <c r="G12" s="51" t="inlineStr">
        <is>
          <t>Gramos total</t>
        </is>
      </c>
      <c r="H12" s="51" t="inlineStr">
        <is>
          <t>Horas c/u</t>
        </is>
      </c>
      <c r="I12" s="51" t="inlineStr">
        <is>
          <t>Horas total</t>
        </is>
      </c>
      <c r="J12" s="51" t="inlineStr">
        <is>
          <t>Estado</t>
        </is>
      </c>
      <c r="K12" s="51" t="inlineStr">
        <is>
          <t>Quién imprime</t>
        </is>
      </c>
      <c r="L12" s="51" t="inlineStr">
        <is>
          <t>Costo filamento (USD)</t>
        </is>
      </c>
      <c r="M12" s="51" t="inlineStr">
        <is>
          <t>Notas</t>
        </is>
      </c>
    </row>
    <row r="13">
      <c r="A13" s="39" t="n">
        <v>1</v>
      </c>
      <c r="B13" s="39" t="inlineStr">
        <is>
          <t>Base</t>
        </is>
      </c>
      <c r="C13" s="39" t="inlineStr">
        <is>
          <t>Base</t>
        </is>
      </c>
      <c r="D13" s="39" t="n">
        <v>1</v>
      </c>
      <c r="E13" s="52" t="n">
        <v>501.5</v>
      </c>
      <c r="F13" s="53" t="n">
        <v>286.6</v>
      </c>
      <c r="G13" s="52">
        <f>D13*F13</f>
        <v/>
      </c>
      <c r="H13" s="52">
        <f>F13/RendimientoGH</f>
        <v/>
      </c>
      <c r="I13" s="52">
        <f>D13*H13</f>
        <v/>
      </c>
      <c r="J13" s="38" t="inlineStr">
        <is>
          <t>Por imprimir</t>
        </is>
      </c>
      <c r="K13" s="38" t="n"/>
      <c r="L13" s="11">
        <f>IF($B$6&gt;0,G13*$B$9/($B$6*GramosRollo),0)</f>
        <v/>
      </c>
      <c r="M13" s="54" t="inlineStr">
        <is>
          <t>Pieza más grande (≈32 h en el artículo)</t>
        </is>
      </c>
    </row>
    <row r="14">
      <c r="A14" s="39" t="n">
        <v>2</v>
      </c>
      <c r="B14" s="39" t="inlineStr">
        <is>
          <t>Base cover</t>
        </is>
      </c>
      <c r="C14" s="39" t="inlineStr">
        <is>
          <t>Columna Z</t>
        </is>
      </c>
      <c r="D14" s="39" t="n">
        <v>1</v>
      </c>
      <c r="E14" s="52" t="n">
        <v>41.4</v>
      </c>
      <c r="F14" s="53" t="n">
        <v>50.9</v>
      </c>
      <c r="G14" s="52">
        <f>D14*F14</f>
        <v/>
      </c>
      <c r="H14" s="52">
        <f>F14/RendimientoGH</f>
        <v/>
      </c>
      <c r="I14" s="52">
        <f>D14*H14</f>
        <v/>
      </c>
      <c r="J14" s="38" t="inlineStr">
        <is>
          <t>Por imprimir</t>
        </is>
      </c>
      <c r="K14" s="38" t="n"/>
      <c r="L14" s="11">
        <f>IF($B$6&gt;0,G14*$B$9/($B$6*GramosRollo),0)</f>
        <v/>
      </c>
      <c r="M14" s="54" t="inlineStr"/>
    </row>
    <row r="15">
      <c r="A15" s="39" t="n">
        <v>3</v>
      </c>
      <c r="B15" s="39" t="inlineStr">
        <is>
          <t>J1 coupler</t>
        </is>
      </c>
      <c r="C15" s="39" t="inlineStr">
        <is>
          <t>Columna Z</t>
        </is>
      </c>
      <c r="D15" s="39" t="n">
        <v>1</v>
      </c>
      <c r="E15" s="52" t="n">
        <v>113.9</v>
      </c>
      <c r="F15" s="53" t="n">
        <v>73.3</v>
      </c>
      <c r="G15" s="52">
        <f>D15*F15</f>
        <v/>
      </c>
      <c r="H15" s="52">
        <f>F15/RendimientoGH</f>
        <v/>
      </c>
      <c r="I15" s="52">
        <f>D15*H15</f>
        <v/>
      </c>
      <c r="J15" s="38" t="inlineStr">
        <is>
          <t>Por imprimir</t>
        </is>
      </c>
      <c r="K15" s="38" t="n"/>
      <c r="L15" s="11">
        <f>IF($B$6&gt;0,G15*$B$9/($B$6*GramosRollo),0)</f>
        <v/>
      </c>
      <c r="M15" s="54" t="inlineStr"/>
    </row>
    <row r="16">
      <c r="A16" s="39" t="n">
        <v>4</v>
      </c>
      <c r="B16" s="39" t="inlineStr">
        <is>
          <t>Z-axis Bottom Plate</t>
        </is>
      </c>
      <c r="C16" s="39" t="inlineStr">
        <is>
          <t>Columna Z</t>
        </is>
      </c>
      <c r="D16" s="39" t="n">
        <v>1</v>
      </c>
      <c r="E16" s="52" t="n">
        <v>95.5</v>
      </c>
      <c r="F16" s="53" t="n">
        <v>57.9</v>
      </c>
      <c r="G16" s="52">
        <f>D16*F16</f>
        <v/>
      </c>
      <c r="H16" s="52">
        <f>F16/RendimientoGH</f>
        <v/>
      </c>
      <c r="I16" s="52">
        <f>D16*H16</f>
        <v/>
      </c>
      <c r="J16" s="38" t="inlineStr">
        <is>
          <t>Por imprimir</t>
        </is>
      </c>
      <c r="K16" s="38" t="n"/>
      <c r="L16" s="11">
        <f>IF($B$6&gt;0,G16*$B$9/($B$6*GramosRollo),0)</f>
        <v/>
      </c>
      <c r="M16" s="54" t="inlineStr"/>
    </row>
    <row r="17">
      <c r="A17" s="39" t="n">
        <v>5</v>
      </c>
      <c r="B17" s="39" t="inlineStr">
        <is>
          <t>Z-axis Top Plate</t>
        </is>
      </c>
      <c r="C17" s="39" t="inlineStr">
        <is>
          <t>Columna Z</t>
        </is>
      </c>
      <c r="D17" s="39" t="n">
        <v>1</v>
      </c>
      <c r="E17" s="52" t="n">
        <v>86.5</v>
      </c>
      <c r="F17" s="53" t="n">
        <v>55.1</v>
      </c>
      <c r="G17" s="52">
        <f>D17*F17</f>
        <v/>
      </c>
      <c r="H17" s="52">
        <f>F17/RendimientoGH</f>
        <v/>
      </c>
      <c r="I17" s="52">
        <f>D17*H17</f>
        <v/>
      </c>
      <c r="J17" s="38" t="inlineStr">
        <is>
          <t>Por imprimir</t>
        </is>
      </c>
      <c r="K17" s="38" t="n"/>
      <c r="L17" s="11">
        <f>IF($B$6&gt;0,G17*$B$9/($B$6*GramosRollo),0)</f>
        <v/>
      </c>
      <c r="M17" s="54" t="inlineStr"/>
    </row>
    <row r="18">
      <c r="A18" s="39" t="n">
        <v>6</v>
      </c>
      <c r="B18" s="39" t="inlineStr">
        <is>
          <t>Top cover</t>
        </is>
      </c>
      <c r="C18" s="39" t="inlineStr">
        <is>
          <t>Columna Z</t>
        </is>
      </c>
      <c r="D18" s="39" t="n">
        <v>1</v>
      </c>
      <c r="E18" s="52" t="n">
        <v>45.1</v>
      </c>
      <c r="F18" s="53" t="n">
        <v>54.3</v>
      </c>
      <c r="G18" s="52">
        <f>D18*F18</f>
        <v/>
      </c>
      <c r="H18" s="52">
        <f>F18/RendimientoGH</f>
        <v/>
      </c>
      <c r="I18" s="52">
        <f>D18*H18</f>
        <v/>
      </c>
      <c r="J18" s="38" t="inlineStr">
        <is>
          <t>Por imprimir</t>
        </is>
      </c>
      <c r="K18" s="38" t="n"/>
      <c r="L18" s="11">
        <f>IF($B$6&gt;0,G18*$B$9/($B$6*GramosRollo),0)</f>
        <v/>
      </c>
      <c r="M18" s="54" t="inlineStr"/>
    </row>
    <row r="19">
      <c r="A19" s="39" t="n">
        <v>7</v>
      </c>
      <c r="B19" s="39" t="inlineStr">
        <is>
          <t>Smooth Rod Clamp</t>
        </is>
      </c>
      <c r="C19" s="39" t="inlineStr">
        <is>
          <t>Columna Z</t>
        </is>
      </c>
      <c r="D19" s="39" t="n">
        <v>8</v>
      </c>
      <c r="E19" s="52" t="n">
        <v>8.199999999999999</v>
      </c>
      <c r="F19" s="53" t="n">
        <v>6.7</v>
      </c>
      <c r="G19" s="52">
        <f>D19*F19</f>
        <v/>
      </c>
      <c r="H19" s="52">
        <f>F19/RendimientoGH</f>
        <v/>
      </c>
      <c r="I19" s="52">
        <f>D19*H19</f>
        <v/>
      </c>
      <c r="J19" s="38" t="inlineStr">
        <is>
          <t>Por imprimir</t>
        </is>
      </c>
      <c r="K19" s="38" t="n"/>
      <c r="L19" s="11">
        <f>IF($B$6&gt;0,G19*$B$9/($B$6*GramosRollo),0)</f>
        <v/>
      </c>
      <c r="M19" s="54" t="inlineStr"/>
    </row>
    <row r="20">
      <c r="A20" s="39" t="n">
        <v>8</v>
      </c>
      <c r="B20" s="39" t="inlineStr">
        <is>
          <t>Z-axis Mount Platform</t>
        </is>
      </c>
      <c r="C20" s="39" t="inlineStr">
        <is>
          <t>Brazo 1</t>
        </is>
      </c>
      <c r="D20" s="39" t="n">
        <v>1</v>
      </c>
      <c r="E20" s="52" t="n">
        <v>173.1</v>
      </c>
      <c r="F20" s="53" t="n">
        <v>129.3</v>
      </c>
      <c r="G20" s="52">
        <f>D20*F20</f>
        <v/>
      </c>
      <c r="H20" s="52">
        <f>F20/RendimientoGH</f>
        <v/>
      </c>
      <c r="I20" s="52">
        <f>D20*H20</f>
        <v/>
      </c>
      <c r="J20" s="38" t="inlineStr">
        <is>
          <t>Por imprimir</t>
        </is>
      </c>
      <c r="K20" s="38" t="n"/>
      <c r="L20" s="11">
        <f>IF($B$6&gt;0,G20*$B$9/($B$6*GramosRollo),0)</f>
        <v/>
      </c>
      <c r="M20" s="54" t="inlineStr"/>
    </row>
    <row r="21">
      <c r="A21" s="39" t="n">
        <v>9</v>
      </c>
      <c r="B21" s="39" t="inlineStr">
        <is>
          <t>Arm 1</t>
        </is>
      </c>
      <c r="C21" s="39" t="inlineStr">
        <is>
          <t>Brazo 1</t>
        </is>
      </c>
      <c r="D21" s="39" t="n">
        <v>1</v>
      </c>
      <c r="E21" s="52" t="n">
        <v>203.4</v>
      </c>
      <c r="F21" s="53" t="n">
        <v>135.6</v>
      </c>
      <c r="G21" s="52">
        <f>D21*F21</f>
        <v/>
      </c>
      <c r="H21" s="52">
        <f>F21/RendimientoGH</f>
        <v/>
      </c>
      <c r="I21" s="52">
        <f>D21*H21</f>
        <v/>
      </c>
      <c r="J21" s="38" t="inlineStr">
        <is>
          <t>Por imprimir</t>
        </is>
      </c>
      <c r="K21" s="38" t="n"/>
      <c r="L21" s="11">
        <f>IF($B$6&gt;0,G21*$B$9/($B$6*GramosRollo),0)</f>
        <v/>
      </c>
      <c r="M21" s="54" t="inlineStr"/>
    </row>
    <row r="22">
      <c r="A22" s="39" t="n">
        <v>10</v>
      </c>
      <c r="B22" s="39" t="inlineStr">
        <is>
          <t>Arm 1 Cover</t>
        </is>
      </c>
      <c r="C22" s="39" t="inlineStr">
        <is>
          <t>Brazo 1</t>
        </is>
      </c>
      <c r="D22" s="39" t="n">
        <v>1</v>
      </c>
      <c r="E22" s="52" t="n">
        <v>48.2</v>
      </c>
      <c r="F22" s="53" t="n">
        <v>49.6</v>
      </c>
      <c r="G22" s="52">
        <f>D22*F22</f>
        <v/>
      </c>
      <c r="H22" s="52">
        <f>F22/RendimientoGH</f>
        <v/>
      </c>
      <c r="I22" s="52">
        <f>D22*H22</f>
        <v/>
      </c>
      <c r="J22" s="38" t="inlineStr">
        <is>
          <t>Por imprimir</t>
        </is>
      </c>
      <c r="K22" s="38" t="n"/>
      <c r="L22" s="11">
        <f>IF($B$6&gt;0,G22*$B$9/($B$6*GramosRollo),0)</f>
        <v/>
      </c>
      <c r="M22" s="54" t="inlineStr"/>
    </row>
    <row r="23">
      <c r="A23" s="39" t="n">
        <v>11</v>
      </c>
      <c r="B23" s="39" t="inlineStr">
        <is>
          <t>J2 Coupler</t>
        </is>
      </c>
      <c r="C23" s="39" t="inlineStr">
        <is>
          <t>Brazo 2</t>
        </is>
      </c>
      <c r="D23" s="39" t="n">
        <v>1</v>
      </c>
      <c r="E23" s="52" t="n">
        <v>56</v>
      </c>
      <c r="F23" s="53" t="n">
        <v>38.9</v>
      </c>
      <c r="G23" s="52">
        <f>D23*F23</f>
        <v/>
      </c>
      <c r="H23" s="52">
        <f>F23/RendimientoGH</f>
        <v/>
      </c>
      <c r="I23" s="52">
        <f>D23*H23</f>
        <v/>
      </c>
      <c r="J23" s="38" t="inlineStr">
        <is>
          <t>Por imprimir</t>
        </is>
      </c>
      <c r="K23" s="38" t="n"/>
      <c r="L23" s="11">
        <f>IF($B$6&gt;0,G23*$B$9/($B$6*GramosRollo),0)</f>
        <v/>
      </c>
      <c r="M23" s="54" t="inlineStr"/>
    </row>
    <row r="24">
      <c r="A24" s="39" t="n">
        <v>12</v>
      </c>
      <c r="B24" s="39" t="inlineStr">
        <is>
          <t>Arm 2</t>
        </is>
      </c>
      <c r="C24" s="39" t="inlineStr">
        <is>
          <t>Brazo 2</t>
        </is>
      </c>
      <c r="D24" s="39" t="n">
        <v>1</v>
      </c>
      <c r="E24" s="52" t="n">
        <v>154.2</v>
      </c>
      <c r="F24" s="53" t="n">
        <v>117.9</v>
      </c>
      <c r="G24" s="52">
        <f>D24*F24</f>
        <v/>
      </c>
      <c r="H24" s="52">
        <f>F24/RendimientoGH</f>
        <v/>
      </c>
      <c r="I24" s="52">
        <f>D24*H24</f>
        <v/>
      </c>
      <c r="J24" s="38" t="inlineStr">
        <is>
          <t>Por imprimir</t>
        </is>
      </c>
      <c r="K24" s="38" t="n"/>
      <c r="L24" s="11">
        <f>IF($B$6&gt;0,G24*$B$9/($B$6*GramosRollo),0)</f>
        <v/>
      </c>
      <c r="M24" s="54" t="inlineStr"/>
    </row>
    <row r="25">
      <c r="A25" s="39" t="n">
        <v>13</v>
      </c>
      <c r="B25" s="39" t="inlineStr">
        <is>
          <t>Arm 2 Cover</t>
        </is>
      </c>
      <c r="C25" s="39" t="inlineStr">
        <is>
          <t>Brazo 2</t>
        </is>
      </c>
      <c r="D25" s="39" t="n">
        <v>1</v>
      </c>
      <c r="E25" s="52" t="n">
        <v>109.3</v>
      </c>
      <c r="F25" s="53" t="n">
        <v>71.3</v>
      </c>
      <c r="G25" s="52">
        <f>D25*F25</f>
        <v/>
      </c>
      <c r="H25" s="52">
        <f>F25/RendimientoGH</f>
        <v/>
      </c>
      <c r="I25" s="52">
        <f>D25*H25</f>
        <v/>
      </c>
      <c r="J25" s="38" t="inlineStr">
        <is>
          <t>Por imprimir</t>
        </is>
      </c>
      <c r="K25" s="38" t="n"/>
      <c r="L25" s="11">
        <f>IF($B$6&gt;0,G25*$B$9/($B$6*GramosRollo),0)</f>
        <v/>
      </c>
      <c r="M25" s="54" t="inlineStr"/>
    </row>
    <row r="26">
      <c r="A26" s="39" t="n">
        <v>14</v>
      </c>
      <c r="B26" s="39" t="inlineStr">
        <is>
          <t>J3 Coupler</t>
        </is>
      </c>
      <c r="C26" s="39" t="inlineStr">
        <is>
          <t>Brazo 2</t>
        </is>
      </c>
      <c r="D26" s="39" t="n">
        <v>1</v>
      </c>
      <c r="E26" s="52" t="n">
        <v>41.8</v>
      </c>
      <c r="F26" s="53" t="n">
        <v>32.2</v>
      </c>
      <c r="G26" s="52">
        <f>D26*F26</f>
        <v/>
      </c>
      <c r="H26" s="52">
        <f>F26/RendimientoGH</f>
        <v/>
      </c>
      <c r="I26" s="52">
        <f>D26*H26</f>
        <v/>
      </c>
      <c r="J26" s="38" t="inlineStr">
        <is>
          <t>Por imprimir</t>
        </is>
      </c>
      <c r="K26" s="38" t="n"/>
      <c r="L26" s="11">
        <f>IF($B$6&gt;0,G26*$B$9/($B$6*GramosRollo),0)</f>
        <v/>
      </c>
      <c r="M26" s="54" t="inlineStr"/>
    </row>
    <row r="27">
      <c r="A27" s="39" t="n">
        <v>15</v>
      </c>
      <c r="B27" s="39" t="inlineStr">
        <is>
          <t>Gripper to J3 connector</t>
        </is>
      </c>
      <c r="C27" s="39" t="inlineStr">
        <is>
          <t>Cabezal</t>
        </is>
      </c>
      <c r="D27" s="39" t="n">
        <v>1</v>
      </c>
      <c r="E27" s="52" t="n">
        <v>8.1</v>
      </c>
      <c r="F27" s="53" t="n">
        <v>8</v>
      </c>
      <c r="G27" s="52">
        <f>D27*F27</f>
        <v/>
      </c>
      <c r="H27" s="52">
        <f>F27/RendimientoGH</f>
        <v/>
      </c>
      <c r="I27" s="52">
        <f>D27*H27</f>
        <v/>
      </c>
      <c r="J27" s="38" t="inlineStr">
        <is>
          <t>Por imprimir</t>
        </is>
      </c>
      <c r="K27" s="38" t="n"/>
      <c r="L27" s="11">
        <f>IF($B$6&gt;0,G27*$B$9/($B$6*GramosRollo),0)</f>
        <v/>
      </c>
      <c r="M27" s="54" t="inlineStr"/>
    </row>
    <row r="28">
      <c r="A28" s="39" t="n">
        <v>16</v>
      </c>
      <c r="B28" s="39" t="inlineStr">
        <is>
          <t>GT2 Pulley - 110 teeth - J1</t>
        </is>
      </c>
      <c r="C28" s="39" t="inlineStr">
        <is>
          <t>Transmisión</t>
        </is>
      </c>
      <c r="D28" s="39" t="n">
        <v>1</v>
      </c>
      <c r="E28" s="52" t="n">
        <v>37.5</v>
      </c>
      <c r="F28" s="53" t="n">
        <v>27.4</v>
      </c>
      <c r="G28" s="52">
        <f>D28*F28</f>
        <v/>
      </c>
      <c r="H28" s="52">
        <f>F28/RendimientoGH</f>
        <v/>
      </c>
      <c r="I28" s="52">
        <f>D28*H28</f>
        <v/>
      </c>
      <c r="J28" s="38" t="inlineStr">
        <is>
          <t>Por imprimir</t>
        </is>
      </c>
      <c r="K28" s="38" t="n"/>
      <c r="L28" s="11">
        <f>IF($B$6&gt;0,G28*$B$9/($B$6*GramosRollo),0)</f>
        <v/>
      </c>
      <c r="M28" s="54" t="inlineStr"/>
    </row>
    <row r="29">
      <c r="A29" s="39" t="n">
        <v>17</v>
      </c>
      <c r="B29" s="39" t="inlineStr">
        <is>
          <t>GT2 Pulley - 22 - 80 teeth</t>
        </is>
      </c>
      <c r="C29" s="39" t="inlineStr">
        <is>
          <t>Transmisión</t>
        </is>
      </c>
      <c r="D29" s="39" t="n">
        <v>1</v>
      </c>
      <c r="E29" s="52" t="n">
        <v>19.2</v>
      </c>
      <c r="F29" s="53" t="n">
        <v>13.9</v>
      </c>
      <c r="G29" s="52">
        <f>D29*F29</f>
        <v/>
      </c>
      <c r="H29" s="52">
        <f>F29/RendimientoGH</f>
        <v/>
      </c>
      <c r="I29" s="52">
        <f>D29*H29</f>
        <v/>
      </c>
      <c r="J29" s="38" t="inlineStr">
        <is>
          <t>Por imprimir</t>
        </is>
      </c>
      <c r="K29" s="38" t="n"/>
      <c r="L29" s="11">
        <f>IF($B$6&gt;0,G29*$B$9/($B$6*GramosRollo),0)</f>
        <v/>
      </c>
      <c r="M29" s="54" t="inlineStr"/>
    </row>
    <row r="30">
      <c r="A30" s="39" t="n">
        <v>18</v>
      </c>
      <c r="B30" s="39" t="inlineStr">
        <is>
          <t>GT2 Pulley - 23 - 80 teeth</t>
        </is>
      </c>
      <c r="C30" s="39" t="inlineStr">
        <is>
          <t>Transmisión</t>
        </is>
      </c>
      <c r="D30" s="39" t="n">
        <v>1</v>
      </c>
      <c r="E30" s="52" t="n">
        <v>19.4</v>
      </c>
      <c r="F30" s="53" t="n">
        <v>14</v>
      </c>
      <c r="G30" s="52">
        <f>D30*F30</f>
        <v/>
      </c>
      <c r="H30" s="52">
        <f>F30/RendimientoGH</f>
        <v/>
      </c>
      <c r="I30" s="52">
        <f>D30*H30</f>
        <v/>
      </c>
      <c r="J30" s="38" t="inlineStr">
        <is>
          <t>Por imprimir</t>
        </is>
      </c>
      <c r="K30" s="38" t="n"/>
      <c r="L30" s="11">
        <f>IF($B$6&gt;0,G30*$B$9/($B$6*GramosRollo),0)</f>
        <v/>
      </c>
      <c r="M30" s="54" t="inlineStr"/>
    </row>
    <row r="31">
      <c r="A31" s="39" t="n">
        <v>19</v>
      </c>
      <c r="B31" s="39" t="inlineStr">
        <is>
          <t>GT2 Pulley - 92 teeth - J2</t>
        </is>
      </c>
      <c r="C31" s="39" t="inlineStr">
        <is>
          <t>Transmisión</t>
        </is>
      </c>
      <c r="D31" s="39" t="n">
        <v>1</v>
      </c>
      <c r="E31" s="52" t="n">
        <v>22.1</v>
      </c>
      <c r="F31" s="53" t="n">
        <v>19.4</v>
      </c>
      <c r="G31" s="52">
        <f>D31*F31</f>
        <v/>
      </c>
      <c r="H31" s="52">
        <f>F31/RendimientoGH</f>
        <v/>
      </c>
      <c r="I31" s="52">
        <f>D31*H31</f>
        <v/>
      </c>
      <c r="J31" s="38" t="inlineStr">
        <is>
          <t>Por imprimir</t>
        </is>
      </c>
      <c r="K31" s="38" t="n"/>
      <c r="L31" s="11">
        <f>IF($B$6&gt;0,G31*$B$9/($B$6*GramosRollo),0)</f>
        <v/>
      </c>
      <c r="M31" s="54" t="inlineStr"/>
    </row>
    <row r="32">
      <c r="A32" s="39" t="n">
        <v>20</v>
      </c>
      <c r="B32" s="39" t="inlineStr">
        <is>
          <t>GT2 Pulley - 90 teeth - J3</t>
        </is>
      </c>
      <c r="C32" s="39" t="inlineStr">
        <is>
          <t>Transmisión</t>
        </is>
      </c>
      <c r="D32" s="39" t="n">
        <v>1</v>
      </c>
      <c r="E32" s="52" t="n">
        <v>24.6</v>
      </c>
      <c r="F32" s="53" t="n">
        <v>19.5</v>
      </c>
      <c r="G32" s="52">
        <f>D32*F32</f>
        <v/>
      </c>
      <c r="H32" s="52">
        <f>F32/RendimientoGH</f>
        <v/>
      </c>
      <c r="I32" s="52">
        <f>D32*H32</f>
        <v/>
      </c>
      <c r="J32" s="38" t="inlineStr">
        <is>
          <t>Por imprimir</t>
        </is>
      </c>
      <c r="K32" s="38" t="n"/>
      <c r="L32" s="11">
        <f>IF($B$6&gt;0,G32*$B$9/($B$6*GramosRollo),0)</f>
        <v/>
      </c>
      <c r="M32" s="54" t="inlineStr"/>
    </row>
    <row r="33">
      <c r="A33" s="39" t="n">
        <v>21</v>
      </c>
      <c r="B33" s="39" t="inlineStr">
        <is>
          <t>GT2 Pulley - Parametric</t>
        </is>
      </c>
      <c r="C33" s="39" t="inlineStr">
        <is>
          <t>Transmisión</t>
        </is>
      </c>
      <c r="D33" s="39" t="n">
        <v>3</v>
      </c>
      <c r="E33" s="52" t="n">
        <v>1.8</v>
      </c>
      <c r="F33" s="53" t="n">
        <v>2</v>
      </c>
      <c r="G33" s="52">
        <f>D33*F33</f>
        <v/>
      </c>
      <c r="H33" s="52">
        <f>F33/RendimientoGH</f>
        <v/>
      </c>
      <c r="I33" s="52">
        <f>D33*H33</f>
        <v/>
      </c>
      <c r="J33" s="38" t="inlineStr">
        <is>
          <t>Por imprimir</t>
        </is>
      </c>
      <c r="K33" s="38" t="n"/>
      <c r="L33" s="11">
        <f>IF($B$6&gt;0,G33*$B$9/($B$6*GramosRollo),0)</f>
        <v/>
      </c>
      <c r="M33" s="54" t="inlineStr">
        <is>
          <t>Paramétrica de 20 dientes: una por motor (J1, J2, J3)</t>
        </is>
      </c>
    </row>
    <row r="34">
      <c r="A34" s="39" t="n">
        <v>22</v>
      </c>
      <c r="B34" s="39" t="inlineStr">
        <is>
          <t>Arduino UNO case p1</t>
        </is>
      </c>
      <c r="C34" s="39" t="inlineStr">
        <is>
          <t>Electrónica</t>
        </is>
      </c>
      <c r="D34" s="39" t="n">
        <v>1</v>
      </c>
      <c r="E34" s="52" t="n">
        <v>64.7</v>
      </c>
      <c r="F34" s="53" t="n">
        <v>52.1</v>
      </c>
      <c r="G34" s="52">
        <f>D34*F34</f>
        <v/>
      </c>
      <c r="H34" s="52">
        <f>F34/RendimientoGH</f>
        <v/>
      </c>
      <c r="I34" s="52">
        <f>D34*H34</f>
        <v/>
      </c>
      <c r="J34" s="38" t="inlineStr">
        <is>
          <t>Por imprimir</t>
        </is>
      </c>
      <c r="K34" s="38" t="n"/>
      <c r="L34" s="11">
        <f>IF($B$6&gt;0,G34*$B$9/($B$6*GramosRollo),0)</f>
        <v/>
      </c>
      <c r="M34" s="54" t="inlineStr"/>
    </row>
    <row r="35">
      <c r="A35" s="39" t="n">
        <v>23</v>
      </c>
      <c r="B35" s="39" t="inlineStr">
        <is>
          <t>Arduino UNO case p2</t>
        </is>
      </c>
      <c r="C35" s="39" t="inlineStr">
        <is>
          <t>Electrónica</t>
        </is>
      </c>
      <c r="D35" s="39" t="n">
        <v>1</v>
      </c>
      <c r="E35" s="52" t="n">
        <v>33.7</v>
      </c>
      <c r="F35" s="53" t="n">
        <v>32.8</v>
      </c>
      <c r="G35" s="52">
        <f>D35*F35</f>
        <v/>
      </c>
      <c r="H35" s="52">
        <f>F35/RendimientoGH</f>
        <v/>
      </c>
      <c r="I35" s="52">
        <f>D35*H35</f>
        <v/>
      </c>
      <c r="J35" s="38" t="inlineStr">
        <is>
          <t>Por imprimir</t>
        </is>
      </c>
      <c r="K35" s="38" t="n"/>
      <c r="L35" s="11">
        <f>IF($B$6&gt;0,G35*$B$9/($B$6*GramosRollo),0)</f>
        <v/>
      </c>
      <c r="M35" s="54" t="inlineStr"/>
    </row>
    <row r="36">
      <c r="A36" s="39" t="n">
        <v>24</v>
      </c>
      <c r="B36" s="39" t="inlineStr">
        <is>
          <t>Wires holder</t>
        </is>
      </c>
      <c r="C36" s="39" t="inlineStr">
        <is>
          <t>Brazo 2</t>
        </is>
      </c>
      <c r="D36" s="39" t="n">
        <v>1</v>
      </c>
      <c r="E36" s="52" t="n">
        <v>3.9</v>
      </c>
      <c r="F36" s="53" t="n">
        <v>3.9</v>
      </c>
      <c r="G36" s="52">
        <f>D36*F36</f>
        <v/>
      </c>
      <c r="H36" s="52">
        <f>F36/RendimientoGH</f>
        <v/>
      </c>
      <c r="I36" s="52">
        <f>D36*H36</f>
        <v/>
      </c>
      <c r="J36" s="38" t="inlineStr">
        <is>
          <t>Por imprimir</t>
        </is>
      </c>
      <c r="K36" s="38" t="n"/>
      <c r="L36" s="11">
        <f>IF($B$6&gt;0,G36*$B$9/($B$6*GramosRollo),0)</f>
        <v/>
      </c>
      <c r="M36" s="54" t="inlineStr"/>
    </row>
    <row r="37">
      <c r="A37" s="39" t="n">
        <v>25</v>
      </c>
      <c r="B37" s="39" t="inlineStr">
        <is>
          <t>Placa trébol del cabezal A v3 (6 mm, PETG)</t>
        </is>
      </c>
      <c r="C37" s="39" t="inlineStr">
        <is>
          <t>Cabezal de disco</t>
        </is>
      </c>
      <c r="D37" s="39" t="n">
        <v>1</v>
      </c>
      <c r="E37" s="52" t="n">
        <v>35.8</v>
      </c>
      <c r="F37" s="55" t="n">
        <v>31.5</v>
      </c>
      <c r="G37" s="52">
        <f>D37*F37</f>
        <v/>
      </c>
      <c r="H37" s="52">
        <f>F37/RendimientoGH</f>
        <v/>
      </c>
      <c r="I37" s="52">
        <f>D37*H37</f>
        <v/>
      </c>
      <c r="J37" s="38" t="inlineStr">
        <is>
          <t>Por imprimir</t>
        </is>
      </c>
      <c r="K37" s="38" t="n"/>
      <c r="L37" s="11">
        <f>IF($B$6&gt;0,G37*$B$9/($B$6*GramosRollo),0)</f>
        <v/>
      </c>
      <c r="M37" s="54" t="inlineStr">
        <is>
          <t>STL en BRAZO SCARA/DISEÑO FINAL/Cabezal disco/STL/02_placa_trebol.stl · boca abajo, sin soportes</t>
        </is>
      </c>
    </row>
    <row r="38">
      <c r="A38" s="39" t="n">
        <v>26</v>
      </c>
      <c r="B38" s="39" t="inlineStr">
        <is>
          <t>Separador de brida 14 mm (PETG)</t>
        </is>
      </c>
      <c r="C38" s="39" t="inlineStr">
        <is>
          <t>Cabezal de disco</t>
        </is>
      </c>
      <c r="D38" s="39" t="n">
        <v>1</v>
      </c>
      <c r="E38" s="52" t="n">
        <v>9.699999999999999</v>
      </c>
      <c r="F38" s="55" t="n">
        <v>12.4</v>
      </c>
      <c r="G38" s="52">
        <f>D38*F38</f>
        <v/>
      </c>
      <c r="H38" s="52">
        <f>F38/RendimientoGH</f>
        <v/>
      </c>
      <c r="I38" s="52">
        <f>D38*H38</f>
        <v/>
      </c>
      <c r="J38" s="38" t="inlineStr">
        <is>
          <t>Por imprimir</t>
        </is>
      </c>
      <c r="K38" s="38" t="n"/>
      <c r="L38" s="11">
        <f>IF($B$6&gt;0,G38*$B$9/($B$6*GramosRollo),0)</f>
        <v/>
      </c>
      <c r="M38" s="54" t="inlineStr">
        <is>
          <t>STL en BRAZO SCARA/DISEÑO FINAL/Cabezal disco/STL/01_separador_brida.stl · baja la placa 14 mm para no chocar con la cubierta del brazo 2</t>
        </is>
      </c>
    </row>
    <row r="39">
      <c r="A39" s="39" t="n">
        <v>27</v>
      </c>
      <c r="B39" s="39" t="inlineStr">
        <is>
          <t>Soporte plumón/servo + puente + collar (PETG, 3 piezas)</t>
        </is>
      </c>
      <c r="C39" s="39" t="inlineStr">
        <is>
          <t>Cabezal de disco</t>
        </is>
      </c>
      <c r="D39" s="39" t="n">
        <v>1</v>
      </c>
      <c r="E39" s="52" t="n">
        <v>9.699999999999999</v>
      </c>
      <c r="F39" s="55" t="n">
        <v>11.8</v>
      </c>
      <c r="G39" s="52">
        <f>D39*F39</f>
        <v/>
      </c>
      <c r="H39" s="52">
        <f>F39/RendimientoGH</f>
        <v/>
      </c>
      <c r="I39" s="52">
        <f>D39*H39</f>
        <v/>
      </c>
      <c r="J39" s="38" t="inlineStr">
        <is>
          <t>Por imprimir</t>
        </is>
      </c>
      <c r="K39" s="38" t="n"/>
      <c r="L39" s="11">
        <f>IF($B$6&gt;0,G39*$B$9/($B$6*GramosRollo),0)</f>
        <v/>
      </c>
      <c r="M39" s="54" t="inlineStr">
        <is>
          <t>STL en BRAZO SCARA/DISEÑO FINAL/Cabezal disco/STL/03, 04 y 05 · gramos de las tres piezas</t>
        </is>
      </c>
    </row>
    <row r="40">
      <c r="A40" s="39" t="n">
        <v>28</v>
      </c>
      <c r="B40" s="39" t="inlineStr">
        <is>
          <t>Separador del electroimán con copa (PLA+)</t>
        </is>
      </c>
      <c r="C40" s="39" t="inlineStr">
        <is>
          <t>Cabezal de disco</t>
        </is>
      </c>
      <c r="D40" s="39" t="n">
        <v>1</v>
      </c>
      <c r="E40" s="52" t="n">
        <v>6.5</v>
      </c>
      <c r="F40" s="55" t="n">
        <v>6</v>
      </c>
      <c r="G40" s="52">
        <f>D40*F40</f>
        <v/>
      </c>
      <c r="H40" s="52">
        <f>F40/RendimientoGH</f>
        <v/>
      </c>
      <c r="I40" s="52">
        <f>D40*H40</f>
        <v/>
      </c>
      <c r="J40" s="38" t="inlineStr">
        <is>
          <t>Por imprimir</t>
        </is>
      </c>
      <c r="K40" s="38" t="n"/>
      <c r="L40" s="11">
        <f>IF($B$6&gt;0,G40*$B$9/($B$6*GramosRollo),0)</f>
        <v/>
      </c>
      <c r="M40" s="54" t="inlineStr">
        <is>
          <t>STL en BRAZO SCARA/DISEÑO FINAL/Cabezal disco/STL/06_separador_electroiman.stl · reemplaza el separador M4 × 25</t>
        </is>
      </c>
    </row>
    <row r="41">
      <c r="A41" s="39" t="n">
        <v>29</v>
      </c>
      <c r="B41" s="39" t="inlineStr">
        <is>
          <t>Abrazadera M12 del sensor (PLA+)</t>
        </is>
      </c>
      <c r="C41" s="39" t="inlineStr">
        <is>
          <t>Cabezal de disco</t>
        </is>
      </c>
      <c r="D41" s="39" t="n">
        <v>1</v>
      </c>
      <c r="E41" s="52" t="n">
        <v>6.9</v>
      </c>
      <c r="F41" s="55" t="n">
        <v>6.1</v>
      </c>
      <c r="G41" s="52">
        <f>D41*F41</f>
        <v/>
      </c>
      <c r="H41" s="52">
        <f>F41/RendimientoGH</f>
        <v/>
      </c>
      <c r="I41" s="52">
        <f>D41*H41</f>
        <v/>
      </c>
      <c r="J41" s="38" t="inlineStr">
        <is>
          <t>Por imprimir</t>
        </is>
      </c>
      <c r="K41" s="38" t="n"/>
      <c r="L41" s="11">
        <f>IF($B$6&gt;0,G41*$B$9/($B$6*GramosRollo),0)</f>
        <v/>
      </c>
      <c r="M41" s="54" t="inlineStr">
        <is>
          <t>STL en BRAZO SCARA/DISEÑO FINAL/Cabezal disco/STL/07_abrazadera_sensor_M12.stl</t>
        </is>
      </c>
    </row>
    <row r="42">
      <c r="A42" s="2" t="n"/>
      <c r="B42" s="4" t="inlineStr">
        <is>
          <t>Total</t>
        </is>
      </c>
      <c r="C42" s="2" t="n"/>
      <c r="D42" s="56">
        <f>SUM(D13:D41)</f>
        <v/>
      </c>
      <c r="E42" s="2" t="n"/>
      <c r="F42" s="2" t="n"/>
      <c r="G42" s="57">
        <f>SUM(G13:G41)</f>
        <v/>
      </c>
      <c r="H42" s="2" t="n"/>
      <c r="I42" s="58">
        <f>SUM(I13:I41)</f>
        <v/>
      </c>
      <c r="J42" s="2" t="n"/>
      <c r="K42" s="2" t="n"/>
      <c r="L42" s="33">
        <f>SUM(L13:L41)</f>
        <v/>
      </c>
      <c r="M42" s="2" t="n"/>
    </row>
  </sheetData>
  <conditionalFormatting sqref="J13:J41">
    <cfRule type="cellIs" priority="1" operator="equal" dxfId="2">
      <formula>"Impreso"</formula>
    </cfRule>
    <cfRule type="cellIs" priority="2" operator="equal" dxfId="8">
      <formula>"Reimprimir"</formula>
    </cfRule>
  </conditionalFormatting>
  <dataValidations count="1">
    <dataValidation sqref="J13:J41" showDropDown="0" showInputMessage="0" showErrorMessage="0" allowBlank="1" type="list">
      <formula1>"Por imprimir,Impreso,Reimprimir"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18" customWidth="1" min="1" max="1"/>
    <col width="52" customWidth="1" min="2" max="2"/>
    <col width="14" customWidth="1" min="3" max="3"/>
    <col width="90" customWidth="1" min="4" max="4"/>
  </cols>
  <sheetData>
    <row r="1">
      <c r="A1" s="19" t="inlineStr">
        <is>
          <t>Supuestos y parámetros</t>
        </is>
      </c>
      <c r="B1" s="2" t="n"/>
      <c r="C1" s="2" t="n"/>
      <c r="D1" s="2" t="n"/>
    </row>
    <row r="2">
      <c r="A2" s="45" t="inlineStr">
        <is>
          <t>Celdas amarillas con texto azul = editables. Todas las fórmulas del libro las usan por nombre.</t>
        </is>
      </c>
      <c r="B2" s="2" t="n"/>
      <c r="C2" s="2" t="n"/>
      <c r="D2" s="2" t="n"/>
    </row>
    <row r="3">
      <c r="A3" s="2" t="n"/>
      <c r="B3" s="2" t="n"/>
      <c r="C3" s="2" t="n"/>
      <c r="D3" s="2" t="n"/>
    </row>
    <row r="4">
      <c r="A4" s="10" t="inlineStr">
        <is>
          <t>Nombre</t>
        </is>
      </c>
      <c r="B4" s="10" t="inlineStr">
        <is>
          <t>Parámetro</t>
        </is>
      </c>
      <c r="C4" s="10" t="inlineStr">
        <is>
          <t>Valor</t>
        </is>
      </c>
      <c r="D4" s="10" t="inlineStr">
        <is>
          <t>Fuente / nota</t>
        </is>
      </c>
    </row>
    <row r="5">
      <c r="A5" s="30" t="inlineStr">
        <is>
          <t>TasaVentasEEUU</t>
        </is>
      </c>
      <c r="B5" s="24" t="inlineStr">
        <is>
          <t>Impuesto de venta en EE. UU. (Florida, casillero en Miami)</t>
        </is>
      </c>
      <c r="C5" s="59" t="n">
        <v>0.07000000000000001</v>
      </c>
      <c r="D5" s="30" t="inlineStr">
        <is>
          <t>Amazon cobra el impuesto del estado de la dirección de entrega. Florida 6 % + condado Miami-Dade 1 %.</t>
        </is>
      </c>
    </row>
    <row r="6">
      <c r="A6" s="30" t="inlineStr">
        <is>
          <t>FleteLb</t>
        </is>
      </c>
      <c r="B6" s="24" t="inlineStr">
        <is>
          <t>Flete del casillero (USD por libra)</t>
        </is>
      </c>
      <c r="C6" s="60" t="n">
        <v>2.5</v>
      </c>
      <c r="D6" s="30" t="inlineStr">
        <is>
          <t>QuickBox: USD 2.50 + IVA por libra o fracción, sin impuestos ni gestión (tiktok.com/@quickboxusa, 2026).</t>
        </is>
      </c>
    </row>
    <row r="7">
      <c r="A7" s="30" t="inlineStr">
        <is>
          <t>IVA</t>
        </is>
      </c>
      <c r="B7" s="24" t="inlineStr">
        <is>
          <t>IVA El Salvador</t>
        </is>
      </c>
      <c r="C7" s="59" t="n">
        <v>0.13</v>
      </c>
      <c r="D7" s="30" t="inlineStr">
        <is>
          <t>Se cobra sobre el flete del casillero y en aduana.</t>
        </is>
      </c>
    </row>
    <row r="8">
      <c r="A8" s="30" t="inlineStr">
        <is>
          <t>RecargoCIF</t>
        </is>
      </c>
      <c r="B8" s="24" t="inlineStr">
        <is>
          <t>Recargo aduanal sobre el valor (flete 10 % + seguro 1.5 %)</t>
        </is>
      </c>
      <c r="C8" s="59" t="n">
        <v>0.115</v>
      </c>
      <c r="D8" s="30" t="inlineStr">
        <is>
          <t>Compras personales &lt; USD 300: IVA 13 % sobre valor + 10 % + 1.5 % (elsalvador.com, 2026).</t>
        </is>
      </c>
    </row>
    <row r="9">
      <c r="A9" s="30" t="inlineStr">
        <is>
          <t>LimiteFranquicia</t>
        </is>
      </c>
      <c r="B9" s="24" t="inlineStr">
        <is>
          <t>Límite por envío para pagar solo IVA (USD)</t>
        </is>
      </c>
      <c r="C9" s="61" t="n">
        <v>300</v>
      </c>
      <c r="D9" s="30" t="inlineStr">
        <is>
          <t>Por encima aplica DAI: dividir en dos envíos.</t>
        </is>
      </c>
    </row>
    <row r="10">
      <c r="A10" s="30" t="inlineStr">
        <is>
          <t>EnviosCasillero</t>
        </is>
      </c>
      <c r="B10" s="24" t="inlineStr">
        <is>
          <t>Número de envíos consolidados desde Amazon</t>
        </is>
      </c>
      <c r="C10" s="62" t="n">
        <v>1</v>
      </c>
      <c r="D10" s="30" t="inlineStr">
        <is>
          <t>Todo lo de Amazon (≈USD 190) cabe en un envío bajo el límite de USD 300.</t>
        </is>
      </c>
    </row>
    <row r="11">
      <c r="A11" s="30" t="inlineStr">
        <is>
          <t>GestionEnvio</t>
        </is>
      </c>
      <c r="B11" s="24" t="inlineStr">
        <is>
          <t>Gestión del casillero por envío (USD)</t>
        </is>
      </c>
      <c r="C11" s="60" t="n">
        <v>3.5</v>
      </c>
      <c r="D11" s="30" t="inlineStr">
        <is>
          <t>Estimado: varía por empresa; preguntar al abrir el casillero.</t>
        </is>
      </c>
    </row>
    <row r="12">
      <c r="A12" s="30" t="inlineStr">
        <is>
          <t>DescCasaRivas</t>
        </is>
      </c>
      <c r="B12" s="24" t="inlineStr">
        <is>
          <t>Descuento estudiantil Casa Rivas</t>
        </is>
      </c>
      <c r="C12" s="59" t="n">
        <v>0.25</v>
      </c>
      <c r="D12" s="30" t="inlineStr">
        <is>
          <t>Con carné. Se aplica solo a filas cuya tienda dice 'Casa Rivas'.</t>
        </is>
      </c>
    </row>
    <row r="13">
      <c r="A13" s="30" t="inlineStr">
        <is>
          <t>Contingencia</t>
        </is>
      </c>
      <c r="B13" s="24" t="inlineStr">
        <is>
          <t>Contingencia sobre lo pendiente</t>
        </is>
      </c>
      <c r="C13" s="59" t="n">
        <v>0.1</v>
      </c>
      <c r="D13" s="30" t="inlineStr">
        <is>
          <t>Piezas que se rompen, reimpresiones, envíos extra.</t>
        </is>
      </c>
    </row>
    <row r="14">
      <c r="A14" s="30" t="inlineStr">
        <is>
          <t>Integrantes</t>
        </is>
      </c>
      <c r="B14" s="24" t="inlineStr">
        <is>
          <t>Integrantes del equipo</t>
        </is>
      </c>
      <c r="C14" s="62" t="n">
        <v>4</v>
      </c>
      <c r="D14" s="30" t="inlineStr">
        <is>
          <t>Para dividir el costo.</t>
        </is>
      </c>
    </row>
    <row r="15">
      <c r="A15" s="30" t="inlineStr">
        <is>
          <t>Presupuesto</t>
        </is>
      </c>
      <c r="B15" s="24" t="inlineStr">
        <is>
          <t>Presupuesto total del equipo (USD)</t>
        </is>
      </c>
      <c r="C15" s="61" t="n">
        <v>300</v>
      </c>
      <c r="D15" s="30" t="inlineStr">
        <is>
          <t>Editar con el monto acordado.</t>
        </is>
      </c>
    </row>
    <row r="16">
      <c r="A16" s="30" t="inlineStr">
        <is>
          <t>MermaImpresion</t>
        </is>
      </c>
      <c r="B16" s="24" t="inlineStr">
        <is>
          <t>Merma de impresión (pruebas, soportes, fallos)</t>
        </is>
      </c>
      <c r="C16" s="59" t="n">
        <v>0.12</v>
      </c>
      <c r="D16" s="30" t="inlineStr">
        <is>
          <t>Sobre los gramos estimados.</t>
        </is>
      </c>
    </row>
    <row r="17">
      <c r="A17" s="30" t="inlineStr">
        <is>
          <t>RendimientoGH</t>
        </is>
      </c>
      <c r="B17" s="24" t="inlineStr">
        <is>
          <t>Rendimiento de impresión (g por hora)</t>
        </is>
      </c>
      <c r="C17" s="63" t="n">
        <v>11.7</v>
      </c>
      <c r="D17" s="30" t="inlineStr">
        <is>
          <t>Calibrado con las 120 h que reporta HowToMechatronics para las piezas del robot.</t>
        </is>
      </c>
    </row>
    <row r="18">
      <c r="A18" s="30" t="inlineStr">
        <is>
          <t>GramosRollo</t>
        </is>
      </c>
      <c r="B18" s="24" t="inlineStr">
        <is>
          <t>Gramos por rollo de filamento</t>
        </is>
      </c>
      <c r="C18" s="64" t="n">
        <v>1000</v>
      </c>
      <c r="D18" s="30" t="inlineStr"/>
    </row>
    <row r="19">
      <c r="A19" s="2" t="n"/>
      <c r="B19" s="2" t="n"/>
      <c r="C19" s="2" t="n"/>
      <c r="D19" s="2" t="n"/>
    </row>
    <row r="20">
      <c r="A20" s="2" t="n"/>
      <c r="B20" s="2" t="n"/>
      <c r="C20" s="2" t="n"/>
      <c r="D20" s="2" t="n"/>
    </row>
    <row r="21">
      <c r="A21" s="4" t="inlineStr">
        <is>
          <t>Integrantes del equipo</t>
        </is>
      </c>
      <c r="B21" s="2" t="n"/>
      <c r="C21" s="2" t="n"/>
      <c r="D21" s="2" t="n"/>
    </row>
    <row r="22">
      <c r="A22" s="7" t="inlineStr">
        <is>
          <t>Escriban sus nombres: se usan en 'Registro de gastos' y en el resumen por persona.</t>
        </is>
      </c>
      <c r="B22" s="2" t="n"/>
      <c r="C22" s="2" t="n"/>
      <c r="D22" s="2" t="n"/>
    </row>
    <row r="23">
      <c r="A23" s="2" t="n"/>
      <c r="B23" s="38" t="inlineStr">
        <is>
          <t>Integrante 1</t>
        </is>
      </c>
      <c r="C23" s="2" t="n"/>
      <c r="D23" s="2" t="n"/>
    </row>
    <row r="24">
      <c r="A24" s="2" t="n"/>
      <c r="B24" s="38" t="inlineStr">
        <is>
          <t>Integrante 2</t>
        </is>
      </c>
      <c r="C24" s="2" t="n"/>
      <c r="D24" s="2" t="n"/>
    </row>
    <row r="25">
      <c r="A25" s="2" t="n"/>
      <c r="B25" s="38" t="inlineStr">
        <is>
          <t>Integrante 3</t>
        </is>
      </c>
      <c r="C25" s="2" t="n"/>
      <c r="D25" s="2" t="n"/>
    </row>
    <row r="26">
      <c r="A26" s="2" t="n"/>
      <c r="B26" s="38" t="inlineStr">
        <is>
          <t>Integrante 4</t>
        </is>
      </c>
      <c r="C26" s="2" t="n"/>
      <c r="D26" s="2" t="n"/>
    </row>
    <row r="27">
      <c r="A27" s="2" t="n"/>
      <c r="B27" s="2" t="n"/>
      <c r="C27" s="2" t="n"/>
      <c r="D27" s="2" t="n"/>
    </row>
    <row r="28">
      <c r="A28" s="4" t="inlineStr">
        <is>
          <t>Fórmula del costo Amazon puesto en El Salvador (por paquete)</t>
        </is>
      </c>
      <c r="B28" s="2" t="n"/>
      <c r="C28" s="2" t="n"/>
      <c r="D28" s="2" t="n"/>
    </row>
    <row r="29">
      <c r="A29" s="7" t="inlineStr">
        <is>
          <t>precio × (1 + impuesto EE. UU.)  +  peso lb × flete × (1 + IVA)  +  precio × (1 + recargo CIF) × IVA. No incluye DAI: mantengan cada envío bajo el límite de la franquicia.</t>
        </is>
      </c>
      <c r="B29" s="2" t="n"/>
      <c r="C29" s="2" t="n"/>
      <c r="D29" s="2" t="n"/>
    </row>
    <row r="30">
      <c r="A30" s="7" t="inlineStr">
        <is>
          <t>Herramientas que se asumen disponibles (no presupuestadas): cautín, multímetro, llaves Allen, sierra para metal, impresora 3D. Precios consultados el 06-oct-2026.</t>
        </is>
      </c>
      <c r="B30" s="2" t="n"/>
      <c r="C30" s="2" t="n"/>
      <c r="D30"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2" customWidth="1" min="1" max="1"/>
    <col width="20" customWidth="1" min="2" max="2"/>
    <col width="44" customWidth="1" min="3" max="3"/>
    <col width="34" customWidth="1" min="4" max="4"/>
    <col width="24" customWidth="1" min="5" max="5"/>
    <col width="24" customWidth="1" min="6" max="6"/>
    <col width="44" customWidth="1" min="7" max="7"/>
  </cols>
  <sheetData>
    <row r="1">
      <c r="A1" s="19" t="inlineStr">
        <is>
          <t>Dónde comprar</t>
        </is>
      </c>
      <c r="B1" s="2" t="n"/>
      <c r="C1" s="2" t="n"/>
      <c r="D1" s="2" t="n"/>
      <c r="E1" s="2" t="n"/>
      <c r="F1" s="2" t="n"/>
      <c r="G1" s="2" t="n"/>
    </row>
    <row r="2">
      <c r="A2" s="45" t="inlineStr">
        <is>
          <t>Tiendas de El Salvador y la ruta de importación. Precios verificados en línea solo donde la hoja lo indica.</t>
        </is>
      </c>
      <c r="B2" s="2" t="n"/>
      <c r="C2" s="2" t="n"/>
      <c r="D2" s="2" t="n"/>
      <c r="E2" s="2" t="n"/>
      <c r="F2" s="2" t="n"/>
      <c r="G2" s="2" t="n"/>
    </row>
    <row r="3">
      <c r="A3" s="2" t="n"/>
      <c r="B3" s="2" t="n"/>
      <c r="C3" s="2" t="n"/>
      <c r="D3" s="2" t="n"/>
      <c r="E3" s="2" t="n"/>
      <c r="F3" s="2" t="n"/>
      <c r="G3" s="2" t="n"/>
    </row>
    <row r="4">
      <c r="A4" s="10" t="inlineStr">
        <is>
          <t>Tienda</t>
        </is>
      </c>
      <c r="B4" s="10" t="inlineStr">
        <is>
          <t>Tipo</t>
        </is>
      </c>
      <c r="C4" s="10" t="inlineStr">
        <is>
          <t>Qué comprar ahí</t>
        </is>
      </c>
      <c r="D4" s="10" t="inlineStr">
        <is>
          <t>Dirección</t>
        </is>
      </c>
      <c r="E4" s="10" t="inlineStr">
        <is>
          <t>Teléfono</t>
        </is>
      </c>
      <c r="F4" s="10" t="inlineStr">
        <is>
          <t>Web / redes</t>
        </is>
      </c>
      <c r="G4" s="10" t="inlineStr">
        <is>
          <t>Notas</t>
        </is>
      </c>
    </row>
    <row r="5">
      <c r="A5" s="24" t="inlineStr">
        <is>
          <t>Electrónica 2001</t>
        </is>
      </c>
      <c r="B5" s="24" t="inlineStr">
        <is>
          <t>Electrónica / robótica</t>
        </is>
      </c>
      <c r="C5" s="24" t="inlineStr">
        <is>
          <t>NEMA 17 (USD 12, cód. 04-355), Arduino Mega, kits</t>
        </is>
      </c>
      <c r="D5" s="24" t="inlineStr">
        <is>
          <t>Calle Arce y 11 Av. Sur #635, San Salvador</t>
        </is>
      </c>
      <c r="E5" s="24" t="inlineStr">
        <is>
          <t>2133-2001</t>
        </is>
      </c>
      <c r="F5" s="24" t="inlineStr">
        <is>
          <t>electronica2001es.com</t>
        </is>
      </c>
      <c r="G5" s="24" t="inlineStr">
        <is>
          <t>Catálogo en línea con precios.</t>
        </is>
      </c>
    </row>
    <row r="6">
      <c r="A6" s="24" t="inlineStr">
        <is>
          <t>Steren El Salvador</t>
        </is>
      </c>
      <c r="B6" s="24" t="inlineStr">
        <is>
          <t>Electrónica</t>
        </is>
      </c>
      <c r="C6" s="24" t="inlineStr">
        <is>
          <t>Placa ARD-010, fuente 12 V 5 A, micro switches, Dupont, cinchos</t>
        </is>
      </c>
      <c r="D6" s="24" t="inlineStr">
        <is>
          <t>Paseo Gral. Escalón y 87 Av. Norte, Col. Escalón</t>
        </is>
      </c>
      <c r="E6" s="24" t="inlineStr">
        <is>
          <t>7876-4626 (WhatsApp)</t>
        </is>
      </c>
      <c r="F6" s="24" t="inlineStr">
        <is>
          <t>steren.com.sv</t>
        </is>
      </c>
      <c r="G6" s="24" t="inlineStr">
        <is>
          <t>Precios en línea; parte de la línea de motores aparece agotada.</t>
        </is>
      </c>
    </row>
    <row r="7">
      <c r="A7" s="24" t="inlineStr">
        <is>
          <t>Casa Rivas Electrónica</t>
        </is>
      </c>
      <c r="B7" s="24" t="inlineStr">
        <is>
          <t>Componentes sueltos</t>
        </is>
      </c>
      <c r="C7" s="24" t="inlineStr">
        <is>
          <t>MOSFET, diodos, PC817, buck, placa perforada, jack DC, servos hobby</t>
        </is>
      </c>
      <c r="D7" s="24" t="inlineStr">
        <is>
          <t>2ª Av. Norte #312 (frente a Lotería Nacional) + 3 sucursales</t>
        </is>
      </c>
      <c r="E7" s="24" t="inlineStr">
        <is>
          <t>2222-1718 · WhatsApp 6836-5980</t>
        </is>
      </c>
      <c r="F7" s="24" t="inlineStr">
        <is>
          <t>—</t>
        </is>
      </c>
      <c r="G7" s="24" t="inlineStr">
        <is>
          <t>25 % de descuento a estudiantes con carné (aplicado en la hoja).</t>
        </is>
      </c>
    </row>
    <row r="8">
      <c r="A8" s="24" t="inlineStr">
        <is>
          <t>ArduStore SV</t>
        </is>
      </c>
      <c r="B8" s="24" t="inlineStr">
        <is>
          <t>Módulos Arduino</t>
        </is>
      </c>
      <c r="C8" s="24" t="inlineStr">
        <is>
          <t>CNC Shield, drivers A4988, LM2596</t>
        </is>
      </c>
      <c r="D8" s="24" t="inlineStr">
        <is>
          <t>En línea (redes sociales)</t>
        </is>
      </c>
      <c r="E8" s="24" t="inlineStr">
        <is>
          <t>6967-8072</t>
        </is>
      </c>
      <c r="F8" s="24" t="inlineStr">
        <is>
          <t>facebook.com/ardustore.sv</t>
        </is>
      </c>
      <c r="G8" s="24" t="inlineStr">
        <is>
          <t>Pedidos por mensaje directo.</t>
        </is>
      </c>
    </row>
    <row r="9">
      <c r="A9" s="24" t="inlineStr">
        <is>
          <t>Creativo 3D</t>
        </is>
      </c>
      <c r="B9" s="24" t="inlineStr">
        <is>
          <t>Impresión 3D y repuestos</t>
        </is>
      </c>
      <c r="C9" s="24" t="inlineStr">
        <is>
          <t>Varillas 10 mm, LM10UU, husillo T8, acople, correas GT2, NEMA</t>
        </is>
      </c>
      <c r="D9" s="24" t="inlineStr">
        <is>
          <t>San Salvador</t>
        </is>
      </c>
      <c r="E9" s="24" t="inlineStr">
        <is>
          <t>Pedidos 7718-6482 · Consultas 7235-4757</t>
        </is>
      </c>
      <c r="F9" s="24" t="inlineStr">
        <is>
          <t>IG @creativo3d_sv</t>
        </is>
      </c>
      <c r="G9" s="24" t="inlineStr">
        <is>
          <t>Reparan impresoras: la llamada que decide si se compra local.</t>
        </is>
      </c>
    </row>
    <row r="10">
      <c r="A10" s="24" t="inlineStr">
        <is>
          <t>CEROSA</t>
        </is>
      </c>
      <c r="B10" s="24" t="inlineStr">
        <is>
          <t>Rodamientos</t>
        </is>
      </c>
      <c r="C10" s="24" t="inlineStr">
        <is>
          <t>51108, 51107, 6807, 6806, 608ZZ, LM10UU</t>
        </is>
      </c>
      <c r="D10" s="24" t="inlineStr">
        <is>
          <t>Blvd. Venezuela #3077, San Salvador</t>
        </is>
      </c>
      <c r="E10" s="24" t="inlineStr">
        <is>
          <t>—</t>
        </is>
      </c>
      <c r="F10" s="24" t="inlineStr">
        <is>
          <t>cerosa.com</t>
        </is>
      </c>
      <c r="G10" s="24" t="inlineStr">
        <is>
          <t>Llevar las medidas; cotizar también en RODASA y REPSA.</t>
        </is>
      </c>
    </row>
    <row r="11">
      <c r="A11" s="24" t="inlineStr">
        <is>
          <t>Almacenes Vidrí</t>
        </is>
      </c>
      <c r="B11" s="24" t="inlineStr">
        <is>
          <t>Ferretería</t>
        </is>
      </c>
      <c r="C11" s="24" t="inlineStr">
        <is>
          <t>Tornillería M3–M8, madera/MDF, resortes, cable multiconductor</t>
        </is>
      </c>
      <c r="D11" s="24" t="inlineStr">
        <is>
          <t>Varias sucursales</t>
        </is>
      </c>
      <c r="E11" s="24" t="inlineStr">
        <is>
          <t>—</t>
        </is>
      </c>
      <c r="F11" s="24" t="inlineStr">
        <is>
          <t>vidri.com.sv</t>
        </is>
      </c>
      <c r="G11" s="24" t="inlineStr">
        <is>
          <t>Catálogo en línea; retiro en 2 h.</t>
        </is>
      </c>
    </row>
    <row r="12">
      <c r="A12" s="24" t="inlineStr">
        <is>
          <t>Prestelectro / Intek</t>
        </is>
      </c>
      <c r="B12" s="24" t="inlineStr">
        <is>
          <t>Sensores industriales</t>
        </is>
      </c>
      <c r="C12" s="24" t="inlineStr">
        <is>
          <t>Sensor inductivo (USD 25–60)</t>
        </is>
      </c>
      <c r="D12" s="24" t="inlineStr">
        <is>
          <t>San Salvador</t>
        </is>
      </c>
      <c r="E12" s="24" t="inlineStr">
        <is>
          <t>2222-1212 / 2260-8888</t>
        </is>
      </c>
      <c r="F12" s="24" t="inlineStr">
        <is>
          <t>prestelectro.com</t>
        </is>
      </c>
      <c r="G12" s="24" t="inlineStr">
        <is>
          <t>Solo si no quieren importar el LJ12A3.</t>
        </is>
      </c>
    </row>
    <row r="13">
      <c r="A13" s="24" t="inlineStr">
        <is>
          <t>El Changarro</t>
        </is>
      </c>
      <c r="B13" s="24" t="inlineStr">
        <is>
          <t>Tienda en línea</t>
        </is>
      </c>
      <c r="C13" s="24" t="inlineStr">
        <is>
          <t>Filamento PLA 1 kg (USD 27.99 en oferta)</t>
        </is>
      </c>
      <c r="D13" s="24" t="inlineStr">
        <is>
          <t>En línea</t>
        </is>
      </c>
      <c r="E13" s="24" t="inlineStr">
        <is>
          <t>—</t>
        </is>
      </c>
      <c r="F13" s="24" t="inlineStr">
        <is>
          <t>elchangarro.com.sv</t>
        </is>
      </c>
      <c r="G13" s="24" t="inlineStr">
        <is>
          <t>Precio indexado; confirmar.</t>
        </is>
      </c>
    </row>
    <row r="14">
      <c r="A14" s="24" t="inlineStr">
        <is>
          <t>Amazon + casillero</t>
        </is>
      </c>
      <c r="B14" s="24" t="inlineStr">
        <is>
          <t>Importación</t>
        </is>
      </c>
      <c r="C14" s="24" t="inlineStr">
        <is>
          <t>Lo que no hay en el país: electroimán, sensor, CNC Shield, rodamientos, varillas, correas</t>
        </is>
      </c>
      <c r="D14" s="24" t="inlineStr">
        <is>
          <t>Casillero en Miami (p. ej. QuickBox)</t>
        </is>
      </c>
      <c r="E14" s="24" t="inlineStr">
        <is>
          <t>—</t>
        </is>
      </c>
      <c r="F14" s="24" t="inlineStr">
        <is>
          <t>amazon.com</t>
        </is>
      </c>
      <c r="G14" s="24" t="inlineStr">
        <is>
          <t>≈ USD 2.50 + IVA por libra; compras &lt; USD 300 solo pagan 13 % de 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2026-10-31T16:54:47Z</dcterms:created>
  <dcterms:modified xmlns:dcterms="http://purl.org/dc/terms/" xmlns:xsi="http://www.w3.org/2001/XMLSchema-instance" xsi:type="dcterms:W3CDTF">2026-10-31T16:54:47Z</dcterms:modified>
</cp:coreProperties>
</file>